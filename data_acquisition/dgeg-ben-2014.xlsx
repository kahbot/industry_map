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730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Trabalho\_01_DSPEE\_DE\Publicacoes\BE-Completo\"/>
    </mc:Choice>
  </mc:AlternateContent>
  <xr:revisionPtr revIDLastSave="0" documentId="13_ncr:1_{9F857469-E4B1-4634-A46A-CE6E5742373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Info" sheetId="4" r:id="rId1"/>
    <sheet name="BE" sheetId="1" r:id="rId2"/>
    <sheet name="PCIs" sheetId="2" r:id="rId3"/>
  </sheets>
  <definedNames>
    <definedName name="_xlnm.Print_Area" localSheetId="0">Info!$A$1:$C$105</definedName>
    <definedName name="_xlnm.Print_Titles" localSheetId="1">BE!$A:$B</definedName>
  </definedNames>
  <calcPr calcId="191029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41" i="2" l="1"/>
  <c r="C36" i="2"/>
  <c r="C35" i="2"/>
  <c r="C34" i="2"/>
  <c r="C33" i="2"/>
  <c r="C32" i="2"/>
  <c r="C31" i="2"/>
  <c r="C30" i="2"/>
  <c r="C29" i="2"/>
  <c r="C28" i="2"/>
  <c r="C27" i="2"/>
</calcChain>
</file>

<file path=xl/sharedStrings.xml><?xml version="1.0" encoding="utf-8"?>
<sst xmlns="http://schemas.openxmlformats.org/spreadsheetml/2006/main" count="427" uniqueCount="331">
  <si>
    <t>Coque</t>
  </si>
  <si>
    <t>Total de Carvão</t>
  </si>
  <si>
    <t>Petróleo Bruto</t>
  </si>
  <si>
    <t>Refugos e Produtos Intermédios</t>
  </si>
  <si>
    <t>GPL</t>
  </si>
  <si>
    <t>Gasolinas</t>
  </si>
  <si>
    <t>Petróleos</t>
  </si>
  <si>
    <t>Jets</t>
  </si>
  <si>
    <t>Fuelóleo</t>
  </si>
  <si>
    <t>Nafta</t>
  </si>
  <si>
    <t>Coque de Petróleo</t>
  </si>
  <si>
    <t>Total de Petróleo Energético</t>
  </si>
  <si>
    <t>Lubrificantes</t>
  </si>
  <si>
    <t>Asfaltos</t>
  </si>
  <si>
    <t>Parafinas</t>
  </si>
  <si>
    <t>Solventes</t>
  </si>
  <si>
    <t>Propileno</t>
  </si>
  <si>
    <t>Total de Petróleo Não Energético</t>
  </si>
  <si>
    <t>Total de Petróleo</t>
  </si>
  <si>
    <t>Gás Natural</t>
  </si>
  <si>
    <t>Gás de Cidade</t>
  </si>
  <si>
    <t>Hidrogénio</t>
  </si>
  <si>
    <t>Calor</t>
  </si>
  <si>
    <t>Lenhas e Resíduos Vegetais</t>
  </si>
  <si>
    <t>Resíduos Sólidos Urbanos</t>
  </si>
  <si>
    <t>Biogás</t>
  </si>
  <si>
    <t>TOTAL GERAL</t>
  </si>
  <si>
    <t>IMPORTAÇÕES</t>
  </si>
  <si>
    <t>1.</t>
  </si>
  <si>
    <t>PRODUÇÃO DOMÉSTICA</t>
  </si>
  <si>
    <t>VARIAÇÃO DE "STOCKS"</t>
  </si>
  <si>
    <t>SAÍDAS</t>
  </si>
  <si>
    <t>Exportações</t>
  </si>
  <si>
    <t>Transportes Marítimos Internacionais</t>
  </si>
  <si>
    <t xml:space="preserve"> 4.2</t>
  </si>
  <si>
    <t>Aviação Internacional</t>
  </si>
  <si>
    <t xml:space="preserve"> CONSUMO DE ENERGIA PRIMÁRIA</t>
  </si>
  <si>
    <t>PARA NOVAS FORMAS DE ENERGIA</t>
  </si>
  <si>
    <t>6.</t>
  </si>
  <si>
    <t>Briquetes</t>
  </si>
  <si>
    <t xml:space="preserve"> 6.1</t>
  </si>
  <si>
    <t xml:space="preserve"> 6.2</t>
  </si>
  <si>
    <t>Produtos de Petróleo</t>
  </si>
  <si>
    <t xml:space="preserve"> 6.3</t>
  </si>
  <si>
    <t xml:space="preserve"> 6.4</t>
  </si>
  <si>
    <t>Petroquímica</t>
  </si>
  <si>
    <t xml:space="preserve"> 6.5</t>
  </si>
  <si>
    <t xml:space="preserve"> 6.6</t>
  </si>
  <si>
    <t>Cogeração</t>
  </si>
  <si>
    <t xml:space="preserve"> 6.7</t>
  </si>
  <si>
    <t>Refinação de Petróleo</t>
  </si>
  <si>
    <t>Agricultura</t>
  </si>
  <si>
    <t>Papel e Artigos de Papel</t>
  </si>
  <si>
    <t>Químicas e Plásticos</t>
  </si>
  <si>
    <t>Cerâmicas</t>
  </si>
  <si>
    <t>Vidro e Artigos de Vidro</t>
  </si>
  <si>
    <t>Siderurgia</t>
  </si>
  <si>
    <t>Vestuário, Calçado e Curtumes</t>
  </si>
  <si>
    <t>Madeira e Artigos de Madeira</t>
  </si>
  <si>
    <t>Borracha</t>
  </si>
  <si>
    <t>Serviços</t>
  </si>
  <si>
    <t>CONSUMO DO SECTOR ENERGÉTICO</t>
  </si>
  <si>
    <t>7.</t>
  </si>
  <si>
    <t>Consumo Próprio da Refinação</t>
  </si>
  <si>
    <t xml:space="preserve"> 7.1</t>
  </si>
  <si>
    <t>Perdas da Refinação</t>
  </si>
  <si>
    <t xml:space="preserve"> 7.2</t>
  </si>
  <si>
    <t xml:space="preserve"> 7.4</t>
  </si>
  <si>
    <t xml:space="preserve"> 7.5</t>
  </si>
  <si>
    <t xml:space="preserve"> 7.6</t>
  </si>
  <si>
    <t>Perdas de Transporte e Distribuição</t>
  </si>
  <si>
    <t>CONSUMO COMO MATÉRIA PRIMA</t>
  </si>
  <si>
    <t>DISPONÍVEL PARA CONSUMO FINAL</t>
  </si>
  <si>
    <t>8.</t>
  </si>
  <si>
    <t>ACERTOS</t>
  </si>
  <si>
    <t>9.</t>
  </si>
  <si>
    <t>CONSUMO FINAL</t>
  </si>
  <si>
    <t>10.</t>
  </si>
  <si>
    <t>AGRICULTURA E PESCAS</t>
  </si>
  <si>
    <t>Pescas</t>
  </si>
  <si>
    <t>INDÚSTRIAS TRANSFORMADORAS</t>
  </si>
  <si>
    <t>CONSTRUÇÃO E OBRAS PÚBLICAS</t>
  </si>
  <si>
    <t>TRANSPORTES</t>
  </si>
  <si>
    <t>Transportes Marítimos Nacionais</t>
  </si>
  <si>
    <t>Caminho de Ferro</t>
  </si>
  <si>
    <t>Rodoviários</t>
  </si>
  <si>
    <t>PCI</t>
  </si>
  <si>
    <t>Produto Energético</t>
  </si>
  <si>
    <t>Gasóleo</t>
  </si>
  <si>
    <t>Gasolina</t>
  </si>
  <si>
    <t>Petróleo (iluminante e carburante)</t>
  </si>
  <si>
    <t>SERVIÇOS</t>
  </si>
  <si>
    <t>tep/ton</t>
  </si>
  <si>
    <t>kJ/kg</t>
  </si>
  <si>
    <t>Gás natural</t>
  </si>
  <si>
    <t>GPL (Butano, Propano e Gas Auto)</t>
  </si>
  <si>
    <t>Hulha</t>
  </si>
  <si>
    <t>Antracite</t>
  </si>
  <si>
    <t>Observações</t>
  </si>
  <si>
    <t>Valor utilizado pela AIE e Eurostat</t>
  </si>
  <si>
    <t>Coquerie e outras não especificadas</t>
  </si>
  <si>
    <t>BALANÇO ENERGÉTICO
tep</t>
  </si>
  <si>
    <t>Solar Térmico</t>
  </si>
  <si>
    <t>-</t>
  </si>
  <si>
    <t>Outros Renováveis</t>
  </si>
  <si>
    <t>Alimentação, bebidas e tabaco</t>
  </si>
  <si>
    <t>Têxteis</t>
  </si>
  <si>
    <t>Metalúrgicas</t>
  </si>
  <si>
    <t>Eólica</t>
  </si>
  <si>
    <t>Foto-voltaica</t>
  </si>
  <si>
    <t xml:space="preserve">Geo-térmica </t>
  </si>
  <si>
    <t>Valor reportado pelos operadores</t>
  </si>
  <si>
    <t>PCI médio tendo por base os PCI mensais reportados pela REN Gasodutos SA</t>
  </si>
  <si>
    <t>Hidro-eletricidade</t>
  </si>
  <si>
    <t>Termo-eletricidade</t>
  </si>
  <si>
    <t>Total de Eletricidade</t>
  </si>
  <si>
    <t>Renováveis
Sem Eletricidade</t>
  </si>
  <si>
    <t>INDÚSTRIAS EXTRATIVAS</t>
  </si>
  <si>
    <t>SETOR DOMÉSTICO</t>
  </si>
  <si>
    <t>Direção-Geral de Energia e Geologia</t>
  </si>
  <si>
    <t>Biocombus-tíveis</t>
  </si>
  <si>
    <t>Cimento e Cal</t>
  </si>
  <si>
    <t>Licores Sulfitivos</t>
  </si>
  <si>
    <t>Gases Incond. de Petroquímica</t>
  </si>
  <si>
    <t>Eletricidade</t>
  </si>
  <si>
    <t>Produção de Eletricidade</t>
  </si>
  <si>
    <t>Metalo-eletro-mecânicas</t>
  </si>
  <si>
    <t>Indústrias Extrativas</t>
  </si>
  <si>
    <t>Centrais Elétricas</t>
  </si>
  <si>
    <t>Outras Indústrias Transformadoras</t>
  </si>
  <si>
    <t xml:space="preserve"> 4.1</t>
  </si>
  <si>
    <t xml:space="preserve"> 7.3</t>
  </si>
  <si>
    <t xml:space="preserve"> 7.7</t>
  </si>
  <si>
    <t>Direção de Serviços de Planeamento Energético e Estatística</t>
  </si>
  <si>
    <t>Outros</t>
  </si>
  <si>
    <t>Aviação Nacional</t>
  </si>
  <si>
    <t>O consumo nos transportes marítimos internacionais é determinado pelo país de destino.</t>
  </si>
  <si>
    <t>PCIs utilizados no balanço energético de 2014</t>
  </si>
  <si>
    <t>Coque de Carvão</t>
  </si>
  <si>
    <t>3 = 1 + 2</t>
  </si>
  <si>
    <t>14 = 4 a 13</t>
  </si>
  <si>
    <t>20 = 15 a 19</t>
  </si>
  <si>
    <t>21= 14 + 20</t>
  </si>
  <si>
    <t>25 = 23 + 24</t>
  </si>
  <si>
    <t>Extração de Carvão, Petróleo e Gás Natural</t>
  </si>
  <si>
    <t>Hulha e Antracite</t>
  </si>
  <si>
    <t>Outros Gases Derivados</t>
  </si>
  <si>
    <t>Bombagem Hidroelétrica</t>
  </si>
  <si>
    <t>Resíduos Não Renováveis</t>
  </si>
  <si>
    <r>
      <t>tep/10</t>
    </r>
    <r>
      <rPr>
        <vertAlign val="superscript"/>
        <sz val="9"/>
        <rFont val="Arial Narrow"/>
        <family val="2"/>
      </rPr>
      <t xml:space="preserve">3 </t>
    </r>
    <r>
      <rPr>
        <sz val="9"/>
        <rFont val="Arial Narrow"/>
        <family val="2"/>
      </rPr>
      <t>Nm</t>
    </r>
    <r>
      <rPr>
        <vertAlign val="superscript"/>
        <sz val="9"/>
        <rFont val="Arial Narrow"/>
        <family val="2"/>
      </rPr>
      <t>3</t>
    </r>
  </si>
  <si>
    <r>
      <t>kJ/Nm</t>
    </r>
    <r>
      <rPr>
        <vertAlign val="superscript"/>
        <sz val="9"/>
        <rFont val="Arial Narrow"/>
        <family val="2"/>
      </rPr>
      <t>3</t>
    </r>
  </si>
  <si>
    <t>Adicionar ao consumo de energia primária, o consumo na aviação internacional.</t>
  </si>
  <si>
    <t>Conceitos</t>
  </si>
  <si>
    <t>Importações</t>
  </si>
  <si>
    <t>Produção Doméstica</t>
  </si>
  <si>
    <t>Saídas</t>
  </si>
  <si>
    <t>Acertos</t>
  </si>
  <si>
    <t>Consumo Final</t>
  </si>
  <si>
    <r>
      <t>Variação de S</t>
    </r>
    <r>
      <rPr>
        <i/>
        <sz val="10"/>
        <rFont val="Arial Narrow"/>
        <family val="2"/>
      </rPr>
      <t>tocks</t>
    </r>
  </si>
  <si>
    <t>Consumo de Energia Primária</t>
  </si>
  <si>
    <t xml:space="preserve">Quantidades que fisicamente entraram no território nacional.
</t>
  </si>
  <si>
    <t xml:space="preserve">Energia primária produzida em território nacional.
</t>
  </si>
  <si>
    <r>
      <t xml:space="preserve">Diferença entre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final e o </t>
    </r>
    <r>
      <rPr>
        <i/>
        <sz val="10"/>
        <rFont val="Arial Narrow"/>
        <family val="2"/>
      </rPr>
      <t>stock</t>
    </r>
    <r>
      <rPr>
        <sz val="10"/>
        <rFont val="Arial Narrow"/>
        <family val="2"/>
      </rPr>
      <t xml:space="preserve"> inicial.
</t>
    </r>
  </si>
  <si>
    <t xml:space="preserve">Quantidades que fisicamente saíram do território nacional.
</t>
  </si>
  <si>
    <t>Navegação Marítima Internacional</t>
  </si>
  <si>
    <r>
      <t xml:space="preserve">Toda a energia utilizada diretamente ou a que é sujeita a transformação para outras formas energéticas. Resulta da soma das importações com a produção doméstica, retirando as saídas e variação de </t>
    </r>
    <r>
      <rPr>
        <i/>
        <sz val="10"/>
        <rFont val="Arial Narrow"/>
        <family val="2"/>
      </rPr>
      <t>stocks</t>
    </r>
    <r>
      <rPr>
        <sz val="10"/>
        <rFont val="Arial Narrow"/>
        <family val="2"/>
      </rPr>
      <t xml:space="preserve">.
</t>
    </r>
  </si>
  <si>
    <t xml:space="preserve">Consumo para produção de derivados do petróleo.
</t>
  </si>
  <si>
    <t xml:space="preserve">Consumo no setor da petroquímica na produção elétrica e cogeração.
</t>
  </si>
  <si>
    <t xml:space="preserve">Consumo de energia primária nas centrais dedicadas à produção de energia elétrica.
</t>
  </si>
  <si>
    <t xml:space="preserve">Consumo próprio das refinarias e nas centrais dedicadas à produção de energia elétrica. Esta rubrica, no balanço energético sintético, inclui as perdas de transporte e o consumo em bombagem hidroelétrica.
</t>
  </si>
  <si>
    <t xml:space="preserve">Consumo de produtos energéticos derivados do petróleo, que não são utilizados para fins energéticos.
</t>
  </si>
  <si>
    <t xml:space="preserve">Diferença entre o consumo final disponível (calculado) e o consumo final observado.
</t>
  </si>
  <si>
    <t xml:space="preserve">Corresponde ao consumo final observado. Do consumo final exclui-se o consumo para outras formas de energia, o consumo no setor energético e o consumo como matéria-prima.
</t>
  </si>
  <si>
    <t>Produtos do Balanço Energético</t>
  </si>
  <si>
    <t>Carvão</t>
  </si>
  <si>
    <t>Energia Elétrica</t>
  </si>
  <si>
    <t xml:space="preserve">Corresponde ao carvão mineral. Engloba a hulha, a antracite e o coque de carvão.
</t>
  </si>
  <si>
    <t xml:space="preserve">Gás de origem fóssil constituído essencialmente por metano. Engloba o gás natural importado por gasoduto e o gás natural liquefeito descarregado de navios.
</t>
  </si>
  <si>
    <t xml:space="preserve">Considera-se apenas o calor produzido em regime de cogeração.
</t>
  </si>
  <si>
    <t xml:space="preserve">Inclui calor geotérmico de baixa entalpia, resíduos animais, tecidos, telas e outros resíduos renováveis.
</t>
  </si>
  <si>
    <t>A unidade utilizada é a tep (tonelada equivalente de petróleo).</t>
  </si>
  <si>
    <t>1 tep = 41,868 GJ</t>
  </si>
  <si>
    <t>1 GWh=86 tep</t>
  </si>
  <si>
    <t>Unidades</t>
  </si>
  <si>
    <t>APA</t>
  </si>
  <si>
    <t>Agência Portuguesa do Ambiente</t>
  </si>
  <si>
    <t>CELE</t>
  </si>
  <si>
    <t>Comércio Europeu de Licenças de Emissão</t>
  </si>
  <si>
    <t>INE</t>
  </si>
  <si>
    <t>Instituto Nacional de Estatística</t>
  </si>
  <si>
    <t>Poder Calorífico Inferior</t>
  </si>
  <si>
    <t>APISOLAR</t>
  </si>
  <si>
    <t>Associação Portuguesa da Indústria Solar</t>
  </si>
  <si>
    <t>Siglas e Acrónimos</t>
  </si>
  <si>
    <t>ICNF</t>
  </si>
  <si>
    <t>FAOSTAT</t>
  </si>
  <si>
    <t>Statistics Division of Food and Agriculture Organization of the United Nations</t>
  </si>
  <si>
    <t>Para efeitos do apuramento do consumo de energia primária e final, de acordo com a Diretiva Europeia da Eficiência Energética, devem ser tidos em consideração os seguintes fatores:</t>
  </si>
  <si>
    <t>Considerar no consumo do setor dos transportes, o consumo na aviação internacional.</t>
  </si>
  <si>
    <t xml:space="preserve"> 2.</t>
  </si>
  <si>
    <t xml:space="preserve"> 3.</t>
  </si>
  <si>
    <t xml:space="preserve"> 4.</t>
  </si>
  <si>
    <t xml:space="preserve"> 4.3</t>
  </si>
  <si>
    <t xml:space="preserve"> 5.</t>
  </si>
  <si>
    <t>6.7.1</t>
  </si>
  <si>
    <t>6.7.2</t>
  </si>
  <si>
    <t>6.7.3</t>
  </si>
  <si>
    <t>6.7.4</t>
  </si>
  <si>
    <t>6.7.5</t>
  </si>
  <si>
    <t>6.7.6</t>
  </si>
  <si>
    <t>6.7.7</t>
  </si>
  <si>
    <t>6.7.8</t>
  </si>
  <si>
    <t>6.7.9</t>
  </si>
  <si>
    <t>6.7.10</t>
  </si>
  <si>
    <t>6.7.11</t>
  </si>
  <si>
    <t>6.7.12</t>
  </si>
  <si>
    <t>6.7.13</t>
  </si>
  <si>
    <t>6.7.14</t>
  </si>
  <si>
    <t>6.7.15</t>
  </si>
  <si>
    <t>6.7.16</t>
  </si>
  <si>
    <t>6.7.17</t>
  </si>
  <si>
    <t>6.7.18</t>
  </si>
  <si>
    <t>6.7.19</t>
  </si>
  <si>
    <t>6.7.20</t>
  </si>
  <si>
    <t>10.1</t>
  </si>
  <si>
    <t>10.1.1</t>
  </si>
  <si>
    <t>10.1.2</t>
  </si>
  <si>
    <t>10.2</t>
  </si>
  <si>
    <t>10.3</t>
  </si>
  <si>
    <t>10.3.1</t>
  </si>
  <si>
    <t>10.3.2</t>
  </si>
  <si>
    <t>10.3.3</t>
  </si>
  <si>
    <t>10.3.4</t>
  </si>
  <si>
    <t>10.3.5</t>
  </si>
  <si>
    <t>10.3.6</t>
  </si>
  <si>
    <t>10.3.7</t>
  </si>
  <si>
    <t>10.3.8</t>
  </si>
  <si>
    <t>10.3.9</t>
  </si>
  <si>
    <t>10.3.10</t>
  </si>
  <si>
    <t>10.3.11</t>
  </si>
  <si>
    <t>10.3.12</t>
  </si>
  <si>
    <t>10.3.13</t>
  </si>
  <si>
    <t>10.3.14</t>
  </si>
  <si>
    <t>10.4</t>
  </si>
  <si>
    <t>10.5</t>
  </si>
  <si>
    <t>10.5.1</t>
  </si>
  <si>
    <t>10.5.2</t>
  </si>
  <si>
    <t>10.5.3</t>
  </si>
  <si>
    <t>10.5.4</t>
  </si>
  <si>
    <t>10.6</t>
  </si>
  <si>
    <t>10.7</t>
  </si>
  <si>
    <t>Notas Explicativas</t>
  </si>
  <si>
    <t>Petróleo Energético</t>
  </si>
  <si>
    <t xml:space="preserve">Inclui todos os derivados de petróleo que não são utilizados para fins energéticos: Lubrificantes, Asfaltos, Parafinas, etc.
</t>
  </si>
  <si>
    <t xml:space="preserve">Total das quantidades exportadas, acrescidas dos fornecimentos à navegação marítima internacional e aviação internacional.
</t>
  </si>
  <si>
    <t xml:space="preserve">Consumo de energia primária nas instalações de cogeração (produção simultânea de calor e energia elétrica).
</t>
  </si>
  <si>
    <t>Consumo do Setor Energético</t>
  </si>
  <si>
    <t>A Disponibilidade corresponde à quantidade de energia primária colocada ao dispor das necessidades globais do país.</t>
  </si>
  <si>
    <t>A Utilização engloba todos os consumos necessários aos processos de transformação e todas as utilizações finais nos diversos setores de atividade económica.</t>
  </si>
  <si>
    <t>Na determinação do consumo de energia primária e final não deve ser considerado o consumo dos produtos não energéticos (Total do petróleo não energético e Consumo de petróleo energético como matéria prima).</t>
  </si>
  <si>
    <r>
      <t>A Transformação engloba todas as operações de transformação de energia, sendo as entradas (</t>
    </r>
    <r>
      <rPr>
        <i/>
        <sz val="10"/>
        <rFont val="Arial Narrow"/>
        <family val="2"/>
      </rPr>
      <t>inputs</t>
    </r>
    <r>
      <rPr>
        <sz val="10"/>
        <rFont val="Arial Narrow"/>
        <family val="2"/>
      </rPr>
      <t>) representadas com sinal positivo e as saídas (</t>
    </r>
    <r>
      <rPr>
        <i/>
        <sz val="10"/>
        <rFont val="Arial Narrow"/>
        <family val="2"/>
      </rPr>
      <t>outputs</t>
    </r>
    <r>
      <rPr>
        <sz val="10"/>
        <rFont val="Arial Narrow"/>
        <family val="2"/>
      </rPr>
      <t>) registadas com sinal negativo.</t>
    </r>
  </si>
  <si>
    <t>Lenhas</t>
  </si>
  <si>
    <t>Briquetes / Pellets</t>
  </si>
  <si>
    <t>Biodiesel</t>
  </si>
  <si>
    <t>Biogasolina</t>
  </si>
  <si>
    <t>Resíduos Vegetais e Florestais</t>
  </si>
  <si>
    <t>Lixívias / Licores Sulfíticos</t>
  </si>
  <si>
    <t>Carvão Vegetal</t>
  </si>
  <si>
    <t>Consumo de energia primária para produção de outra forma energética.</t>
  </si>
  <si>
    <t>Para Novas Formas de Energia</t>
  </si>
  <si>
    <t>Balanço Energético</t>
  </si>
  <si>
    <t>PCIs</t>
  </si>
  <si>
    <t>O consumo na aviação internacional é determinado pelo país de destino.</t>
  </si>
  <si>
    <t>O consumo da aviação militar nacional e estrangeira é imputado aos serviços.</t>
  </si>
  <si>
    <t>O consumo nos navios de pesca de bandeira nacional ou estrangeira é imputado às pescas.</t>
  </si>
  <si>
    <t>O consumo da armada nacional e estrangeira é imputado aos serviços.</t>
  </si>
  <si>
    <t xml:space="preserve">Consumo como 
Matéria-Prima
</t>
  </si>
  <si>
    <t>Petróleo Não 
Energético</t>
  </si>
  <si>
    <t>Lenhas e Resíduos 
Vegetais</t>
  </si>
  <si>
    <r>
      <t xml:space="preserve">Inclui lenhas, resíduos vegetais, resíduos florestais, briquetes e </t>
    </r>
    <r>
      <rPr>
        <i/>
        <sz val="10"/>
        <rFont val="Arial Narrow"/>
        <family val="2"/>
      </rPr>
      <t>pellets.</t>
    </r>
    <r>
      <rPr>
        <sz val="10"/>
        <rFont val="Arial Narrow"/>
        <family val="2"/>
      </rPr>
      <t xml:space="preserve">
</t>
    </r>
  </si>
  <si>
    <t>Resíduos Não 
Renováveis</t>
  </si>
  <si>
    <t>Instituto da Conservação da Natureza e das Florestas</t>
  </si>
  <si>
    <t>ICESD2010</t>
  </si>
  <si>
    <t xml:space="preserve">Inquérito ao Consumo de Energia no Sector Doméstico de 2010 </t>
  </si>
  <si>
    <t>BALANÇO ENERGÉTICO</t>
  </si>
  <si>
    <t>BE</t>
  </si>
  <si>
    <t>Os poderes caloríficos utilizados encontram-se disponíveis na folha PCIs.</t>
  </si>
  <si>
    <t>Gás de Petróleo Liquefeito</t>
  </si>
  <si>
    <t>J</t>
  </si>
  <si>
    <t>Joule</t>
  </si>
  <si>
    <t>O BE abrange o Continente e as Regiões Autónomas dos Açores e da Madeira.</t>
  </si>
  <si>
    <t xml:space="preserve">Contribuem para o BE as seguintes formas de energia: </t>
  </si>
  <si>
    <t>DGEG</t>
  </si>
  <si>
    <t>DSRHG</t>
  </si>
  <si>
    <t>Direção de Serviços dos Recursos Hidrogeológicos e Geotérmicos</t>
  </si>
  <si>
    <t>Movimentos do carvão mineral, petróleo bruto, derivados do petróleo, gás natural, energia elétrica, calor, biogás e biocombustíveis. Fonte DGEG.</t>
  </si>
  <si>
    <t>O consumo de resíduos renováveis e não renováveis. Fonte DGEG e APA (indústrias abrangidas pelo CELE).</t>
  </si>
  <si>
    <r>
      <t xml:space="preserve">A produção, fornecimento ao mercado interno e exportação de </t>
    </r>
    <r>
      <rPr>
        <i/>
        <sz val="10"/>
        <rFont val="Arial Narrow"/>
        <family val="2"/>
      </rPr>
      <t>pellets</t>
    </r>
    <r>
      <rPr>
        <sz val="10"/>
        <rFont val="Arial Narrow"/>
        <family val="2"/>
      </rPr>
      <t xml:space="preserve"> e briquetes (lenhas e resíduos vegetais).
Fonte INE/DGEG.</t>
    </r>
  </si>
  <si>
    <t>A produção, importação e exportação de carvão vegetal.
Fonte INE, ICNF/FAOSTAT</t>
  </si>
  <si>
    <t>O consumo de calor geotérmico de baixa entalpia. Fonte DGEG/DSRHG.</t>
  </si>
  <si>
    <t>Os consumos de GPL e gasóleo de aquecimento no sector doméstico foram estimados tendo por base os resultados do ICESD2010 e respetiva evolução de vendas na rede de revenda de 2010 para 2014.</t>
  </si>
  <si>
    <t>O consumo de lenhas no sector doméstico, estimado com base nos resultados do  "Inquérito ao Consumo de Energia no Sector Doméstico" de 2010 (ICESD2010). Fonte INE/DGEG.</t>
  </si>
  <si>
    <t>Resíduos Sólidos
Urbanos</t>
  </si>
  <si>
    <t>Bombas de Calor</t>
  </si>
  <si>
    <t>42 = 34 a 41</t>
  </si>
  <si>
    <t>43=3+21+22+25+31+32+33+42</t>
  </si>
  <si>
    <t>Nota Introdutória</t>
  </si>
  <si>
    <t xml:space="preserve">O BE é um mapa de dupla entrada, no qual figuram em coluna as formas de energia utilizadas e em linha os diversos movimentos ou operações de transformação associados a cada forma energética. Todos os movimentos são expressos na unidade tep.
Os movimentos podem-se classificar em três grupos: Disponibilidades, Transformação e Utilização.
</t>
  </si>
  <si>
    <t>A estrutura do BE, segue as orientações internacionais da Agência Internacional de Energia e da Divisão de Estatística das Nações Unidas.</t>
  </si>
  <si>
    <t>Para a determinação dos consumos das bancas marítimas e aviação segue-se a metodologia da AIE e Eurostat:</t>
  </si>
  <si>
    <t>O consumo de lenhas e resíduos vegetais no setor da indústria.
Fonte INE - Inquérito Anual à Indústria.</t>
  </si>
  <si>
    <t>O consumo energético no aquecimento de água quente proveniente do solar térmico, baseado na área dos colectores solares instalados. Considerou-se como factor de conversão: 0,0731 tep/m2 ano (850 kWh/m2 ano).
Fonte para a área de painéis solares instalados APISOLAR.</t>
  </si>
  <si>
    <t>O consumo de calor de origem renovável produzido por bombas de calor. Fonte APIRAC.</t>
  </si>
  <si>
    <t>Para mais informações sobre o Balanço Energético, consultar o documento metodológico publicado no site da DGEG.</t>
  </si>
  <si>
    <t xml:space="preserve">Fornecimentos a embarcações civis de transporte com destino a portos internacionais.
Calibração efetuada pela APA.
Excluem-se os fornecimentos a embarcações militares e de pesca, de qualquer bandeira, que são contabilizados no consumo final de energia.
</t>
  </si>
  <si>
    <t>Fornecimentos à aviação civil com destino a aeroportos internacionais.
Calibração efetuada pela APA.
Excluem-se os fornecimentos à aviação militar de qualquer bandeira.</t>
  </si>
  <si>
    <t xml:space="preserve">Engloba o petróleo bruto, componentes e derivados do petróleo suscetíveis de serem utilizados para fins energéticos. O consumo de energia final inclui os biocombustíveis incorporados, que correspondem à biomassa transferida para “Produtos de Petróleo” do movimento “Para Novas Formas de Energia”.
</t>
  </si>
  <si>
    <t xml:space="preserve">Inclui toda a energia elétrica, independentemente da tecnologia de produção.
A produção doméstica corresponde à totalidade da produção a partir de fontes renováveis (hídrica, eólica, geotérmica e fotovoltaica). A energia elétrica produzida em centrais térmicas e de cogeração, é representada com valores negativos, nas linhas “Eletricidade” e “Cogeração” do movimento “Para Novas Formas de Energia”.
</t>
  </si>
  <si>
    <t xml:space="preserve">Inclui pneus usados, óleos usados, outros resíduos industriais não renováveis e fração não renovável dos resíduos sólidos urbanos (RSU).
</t>
  </si>
  <si>
    <t>Fração renovável de acordo com a separação de biogénicos / não-biogénicos determinados pela APA.</t>
  </si>
  <si>
    <t xml:space="preserve">Bombas
de Calor
</t>
  </si>
  <si>
    <t>Calor de origem renovável produzido por bombas de calor de acordo com a metodologia proposta pela Diretiva das Renováveis 2009/28/CE e Decisão da Comissão de 1 de março de 2013 (Estabelece as orientações para os Estados-Membros no cálculo da energia renovável obtida a partir de bombas de calor).</t>
  </si>
  <si>
    <r>
      <t>1 tep =10</t>
    </r>
    <r>
      <rPr>
        <vertAlign val="superscript"/>
        <sz val="9"/>
        <rFont val="Arial Narrow"/>
        <family val="2"/>
      </rPr>
      <t>10</t>
    </r>
    <r>
      <rPr>
        <sz val="9"/>
        <rFont val="Arial Narrow"/>
        <family val="2"/>
      </rPr>
      <t xml:space="preserve"> calorias</t>
    </r>
  </si>
  <si>
    <r>
      <t>1 GJ=10</t>
    </r>
    <r>
      <rPr>
        <vertAlign val="superscript"/>
        <sz val="9"/>
        <rFont val="Arial Narrow"/>
        <family val="2"/>
      </rPr>
      <t>9</t>
    </r>
    <r>
      <rPr>
        <sz val="9"/>
        <rFont val="Arial Narrow"/>
        <family val="2"/>
      </rPr>
      <t xml:space="preserve"> J</t>
    </r>
  </si>
  <si>
    <t>AIE</t>
  </si>
  <si>
    <t>Agência Internacional de Energia</t>
  </si>
  <si>
    <t>APIRAC</t>
  </si>
  <si>
    <t>Associação Portuguesa da Indústria da Refrigeração e Ar Condicionado</t>
  </si>
  <si>
    <t>ADENE</t>
  </si>
  <si>
    <t>Agência para a Energia</t>
  </si>
  <si>
    <t>Nesta revisão do Balanço Energético (BE) de 2014, para além do contributo das bombas de calor na produção de energia renovável, incluído na revisão anterior, apresenta-se o consumo de gás natural utilizado como matéria-prima, ou seja, para produção de outros gases utilizados em fins não energéticos (o consumo como matéria-prima foi deduzido ao consumo energético da indústria química).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</si>
</sst>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&quot;  &quot;"/>
    <numFmt numFmtId="165" formatCode="###\ ###\ ##0__"/>
    <numFmt numFmtId="166" formatCode="###__"/>
    <numFmt numFmtId="167" formatCode="0.0000"/>
  </numFmts>
  <fonts count="30" x14ac:knownFonts="1">
    <font>
      <sz val="10"/>
      <name val="Arial"/>
    </font>
    <font>
      <u/>
      <sz val="10"/>
      <color indexed="12"/>
      <name val="Arial"/>
      <family val="2"/>
    </font>
    <font>
      <b/>
      <sz val="9"/>
      <name val="Arial Narrow"/>
      <family val="2"/>
    </font>
    <font>
      <sz val="9"/>
      <name val="Arial Narrow"/>
      <family val="2"/>
    </font>
    <font>
      <sz val="7"/>
      <name val="Arial Narrow"/>
      <family val="2"/>
    </font>
    <font>
      <sz val="9"/>
      <color indexed="10"/>
      <name val="Arial Narrow"/>
      <family val="2"/>
    </font>
    <font>
      <sz val="9"/>
      <color indexed="8"/>
      <name val="Arial Narrow"/>
      <family val="2"/>
    </font>
    <font>
      <b/>
      <sz val="9"/>
      <color indexed="8"/>
      <name val="Arial Narrow"/>
      <family val="2"/>
    </font>
    <font>
      <sz val="8"/>
      <name val="Arial"/>
      <family val="2"/>
    </font>
    <font>
      <sz val="8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i/>
      <sz val="8"/>
      <name val="Arial Narrow"/>
      <family val="2"/>
    </font>
    <font>
      <i/>
      <sz val="7"/>
      <name val="Arial Narrow"/>
      <family val="2"/>
    </font>
    <font>
      <sz val="8"/>
      <name val="Arial Narrow"/>
      <family val="2"/>
    </font>
    <font>
      <b/>
      <sz val="8"/>
      <name val="Arial Narrow"/>
      <family val="2"/>
    </font>
    <font>
      <sz val="10"/>
      <name val="Arial"/>
      <family val="2"/>
    </font>
    <font>
      <b/>
      <sz val="12"/>
      <name val="Arial"/>
      <family val="2"/>
    </font>
    <font>
      <vertAlign val="superscript"/>
      <sz val="9"/>
      <name val="Arial Narrow"/>
      <family val="2"/>
    </font>
    <font>
      <b/>
      <sz val="10"/>
      <name val="Arial Narrow"/>
      <family val="2"/>
    </font>
    <font>
      <sz val="10"/>
      <name val="Arial Narrow"/>
      <family val="2"/>
    </font>
    <font>
      <i/>
      <sz val="10"/>
      <name val="Arial Narrow"/>
      <family val="2"/>
    </font>
    <font>
      <b/>
      <sz val="12"/>
      <name val="Arial Narrow"/>
      <family val="2"/>
    </font>
    <font>
      <u/>
      <sz val="8"/>
      <color indexed="12"/>
      <name val="Arial"/>
      <family val="2"/>
    </font>
    <font>
      <b/>
      <sz val="14"/>
      <name val="Arial Narrow"/>
      <family val="2"/>
    </font>
    <font>
      <i/>
      <sz val="9"/>
      <color theme="0" tint="-0.499984740745262"/>
      <name val="Arial Narrow"/>
      <family val="2"/>
    </font>
    <font>
      <i/>
      <sz val="8"/>
      <color theme="0" tint="-0.34998626667073579"/>
      <name val="Arial Narrow"/>
      <family val="2"/>
    </font>
    <font>
      <i/>
      <sz val="9"/>
      <name val="Arial Narrow"/>
      <family val="2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9"/>
        <bgColor indexed="8"/>
      </patternFill>
    </fill>
    <fill>
      <patternFill patternType="solid">
        <fgColor indexed="9"/>
        <bgColor indexed="64"/>
      </patternFill>
    </fill>
    <fill>
      <patternFill patternType="solid">
        <fgColor rgb="FFCCFFFF"/>
        <bgColor indexed="64"/>
      </patternFill>
    </fill>
  </fills>
  <borders count="86">
    <border>
      <left/>
      <right/>
      <top/>
      <bottom/>
      <diagonal/>
    </border>
    <border>
      <left style="double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double">
        <color indexed="64"/>
      </right>
      <top style="double">
        <color indexed="64"/>
      </top>
      <bottom/>
      <diagonal/>
    </border>
    <border>
      <left/>
      <right style="hair">
        <color indexed="64"/>
      </right>
      <top style="double">
        <color indexed="64"/>
      </top>
      <bottom/>
      <diagonal/>
    </border>
    <border>
      <left style="hair">
        <color indexed="64"/>
      </left>
      <right style="thin">
        <color indexed="64"/>
      </right>
      <top style="double">
        <color indexed="64"/>
      </top>
      <bottom/>
      <diagonal/>
    </border>
    <border>
      <left style="hair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double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/>
      <right style="hair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double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hair">
        <color indexed="64"/>
      </bottom>
      <diagonal/>
    </border>
    <border>
      <left style="hair">
        <color indexed="64"/>
      </left>
      <right/>
      <top style="double">
        <color indexed="64"/>
      </top>
      <bottom style="hair">
        <color indexed="64"/>
      </bottom>
      <diagonal/>
    </border>
    <border>
      <left/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hair">
        <color indexed="64"/>
      </top>
      <bottom/>
      <diagonal/>
    </border>
    <border>
      <left style="hair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double">
        <color indexed="64"/>
      </right>
      <top style="hair">
        <color indexed="64"/>
      </top>
      <bottom/>
      <diagonal/>
    </border>
    <border>
      <left style="double">
        <color indexed="64"/>
      </left>
      <right style="double">
        <color indexed="64"/>
      </right>
      <top style="hair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</borders>
  <cellStyleXfs count="3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  <xf numFmtId="0" fontId="18" fillId="0" borderId="0"/>
  </cellStyleXfs>
  <cellXfs count="360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1" fontId="3" fillId="0" borderId="2" xfId="0" applyNumberFormat="1" applyFont="1" applyBorder="1" applyAlignment="1">
      <alignment horizontal="center" vertical="center" wrapText="1"/>
    </xf>
    <xf numFmtId="1" fontId="2" fillId="0" borderId="3" xfId="0" applyNumberFormat="1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3" fontId="3" fillId="0" borderId="2" xfId="0" applyNumberFormat="1" applyFont="1" applyBorder="1" applyAlignment="1">
      <alignment horizontal="center" vertical="center" wrapText="1"/>
    </xf>
    <xf numFmtId="1" fontId="2" fillId="0" borderId="5" xfId="0" applyNumberFormat="1" applyFont="1" applyBorder="1" applyAlignment="1">
      <alignment horizontal="center" vertical="center" wrapText="1"/>
    </xf>
    <xf numFmtId="1" fontId="3" fillId="0" borderId="4" xfId="0" applyNumberFormat="1" applyFont="1" applyBorder="1" applyAlignment="1">
      <alignment horizontal="center" vertical="center" wrapText="1"/>
    </xf>
    <xf numFmtId="1" fontId="3" fillId="0" borderId="6" xfId="0" applyNumberFormat="1" applyFont="1" applyBorder="1" applyAlignment="1">
      <alignment horizontal="center" vertical="center" wrapText="1"/>
    </xf>
    <xf numFmtId="1" fontId="2" fillId="0" borderId="7" xfId="0" applyNumberFormat="1" applyFont="1" applyBorder="1" applyAlignment="1">
      <alignment horizontal="center" vertical="center" wrapText="1"/>
    </xf>
    <xf numFmtId="1" fontId="2" fillId="0" borderId="8" xfId="0" applyNumberFormat="1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1" fontId="3" fillId="0" borderId="8" xfId="0" applyNumberFormat="1" applyFont="1" applyBorder="1" applyAlignment="1">
      <alignment horizontal="center" vertical="center" wrapText="1"/>
    </xf>
    <xf numFmtId="3" fontId="3" fillId="0" borderId="4" xfId="0" applyNumberFormat="1" applyFont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 wrapText="1"/>
    </xf>
    <xf numFmtId="0" fontId="4" fillId="0" borderId="10" xfId="0" applyFont="1" applyBorder="1" applyAlignment="1">
      <alignment horizontal="center" vertical="center" wrapText="1"/>
    </xf>
    <xf numFmtId="1" fontId="4" fillId="0" borderId="11" xfId="0" applyNumberFormat="1" applyFont="1" applyBorder="1" applyAlignment="1">
      <alignment horizontal="center" vertical="center"/>
    </xf>
    <xf numFmtId="1" fontId="4" fillId="0" borderId="12" xfId="0" applyNumberFormat="1" applyFont="1" applyBorder="1" applyAlignment="1">
      <alignment horizontal="center" vertical="center"/>
    </xf>
    <xf numFmtId="1" fontId="4" fillId="0" borderId="10" xfId="0" applyNumberFormat="1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3" fontId="4" fillId="0" borderId="10" xfId="0" applyNumberFormat="1" applyFont="1" applyBorder="1" applyAlignment="1">
      <alignment horizontal="center" vertical="center"/>
    </xf>
    <xf numFmtId="1" fontId="4" fillId="0" borderId="13" xfId="0" applyNumberFormat="1" applyFont="1" applyBorder="1" applyAlignment="1">
      <alignment horizontal="center" vertical="center"/>
    </xf>
    <xf numFmtId="1" fontId="4" fillId="0" borderId="14" xfId="0" applyNumberFormat="1" applyFont="1" applyBorder="1" applyAlignment="1">
      <alignment horizontal="center" vertical="center"/>
    </xf>
    <xf numFmtId="1" fontId="4" fillId="0" borderId="15" xfId="0" applyNumberFormat="1" applyFont="1" applyBorder="1" applyAlignment="1">
      <alignment horizontal="center" vertical="center"/>
    </xf>
    <xf numFmtId="3" fontId="4" fillId="0" borderId="12" xfId="0" applyNumberFormat="1" applyFont="1" applyBorder="1" applyAlignment="1">
      <alignment horizontal="center" vertical="center"/>
    </xf>
    <xf numFmtId="1" fontId="4" fillId="0" borderId="16" xfId="0" applyNumberFormat="1" applyFont="1" applyBorder="1" applyAlignment="1">
      <alignment horizontal="center" vertical="center" wrapText="1"/>
    </xf>
    <xf numFmtId="164" fontId="3" fillId="0" borderId="17" xfId="0" applyNumberFormat="1" applyFont="1" applyBorder="1" applyAlignment="1">
      <alignment horizontal="left" vertical="center"/>
    </xf>
    <xf numFmtId="165" fontId="3" fillId="0" borderId="18" xfId="0" applyNumberFormat="1" applyFont="1" applyBorder="1" applyAlignment="1" applyProtection="1">
      <alignment vertical="center"/>
    </xf>
    <xf numFmtId="165" fontId="3" fillId="0" borderId="19" xfId="0" applyNumberFormat="1" applyFont="1" applyBorder="1" applyAlignment="1">
      <alignment vertical="center"/>
    </xf>
    <xf numFmtId="165" fontId="2" fillId="0" borderId="20" xfId="0" applyNumberFormat="1" applyFont="1" applyBorder="1" applyAlignment="1">
      <alignment vertical="center"/>
    </xf>
    <xf numFmtId="165" fontId="3" fillId="0" borderId="21" xfId="0" applyNumberFormat="1" applyFont="1" applyBorder="1" applyAlignment="1" applyProtection="1">
      <alignment vertical="center"/>
    </xf>
    <xf numFmtId="165" fontId="3" fillId="0" borderId="19" xfId="0" applyNumberFormat="1" applyFont="1" applyBorder="1" applyAlignment="1" applyProtection="1">
      <alignment vertical="center"/>
    </xf>
    <xf numFmtId="165" fontId="2" fillId="0" borderId="22" xfId="0" applyNumberFormat="1" applyFont="1" applyBorder="1" applyAlignment="1" applyProtection="1">
      <alignment vertical="center"/>
    </xf>
    <xf numFmtId="165" fontId="2" fillId="0" borderId="23" xfId="0" applyNumberFormat="1" applyFont="1" applyBorder="1" applyAlignment="1">
      <alignment vertical="center"/>
    </xf>
    <xf numFmtId="165" fontId="2" fillId="0" borderId="24" xfId="0" applyNumberFormat="1" applyFont="1" applyBorder="1" applyAlignment="1">
      <alignment vertical="center"/>
    </xf>
    <xf numFmtId="165" fontId="3" fillId="2" borderId="19" xfId="0" applyNumberFormat="1" applyFont="1" applyFill="1" applyBorder="1" applyAlignment="1">
      <alignment vertical="center"/>
    </xf>
    <xf numFmtId="165" fontId="3" fillId="2" borderId="20" xfId="0" applyNumberFormat="1" applyFont="1" applyFill="1" applyBorder="1" applyAlignment="1">
      <alignment vertical="center"/>
    </xf>
    <xf numFmtId="165" fontId="3" fillId="2" borderId="21" xfId="0" applyNumberFormat="1" applyFont="1" applyFill="1" applyBorder="1" applyAlignment="1" applyProtection="1">
      <alignment vertical="center"/>
    </xf>
    <xf numFmtId="165" fontId="3" fillId="2" borderId="24" xfId="0" applyNumberFormat="1" applyFont="1" applyFill="1" applyBorder="1" applyAlignment="1">
      <alignment vertical="center"/>
    </xf>
    <xf numFmtId="165" fontId="3" fillId="0" borderId="25" xfId="0" applyNumberFormat="1" applyFont="1" applyFill="1" applyBorder="1" applyAlignment="1">
      <alignment vertical="center"/>
    </xf>
    <xf numFmtId="164" fontId="3" fillId="0" borderId="26" xfId="0" applyNumberFormat="1" applyFont="1" applyBorder="1" applyAlignment="1">
      <alignment horizontal="left" vertical="center"/>
    </xf>
    <xf numFmtId="165" fontId="3" fillId="0" borderId="27" xfId="0" applyNumberFormat="1" applyFont="1" applyBorder="1" applyAlignment="1">
      <alignment vertical="center"/>
    </xf>
    <xf numFmtId="165" fontId="3" fillId="0" borderId="28" xfId="0" applyNumberFormat="1" applyFont="1" applyBorder="1" applyAlignment="1" applyProtection="1">
      <alignment vertical="center"/>
    </xf>
    <xf numFmtId="165" fontId="3" fillId="2" borderId="28" xfId="0" applyNumberFormat="1" applyFont="1" applyFill="1" applyBorder="1" applyAlignment="1">
      <alignment vertical="center"/>
    </xf>
    <xf numFmtId="165" fontId="2" fillId="0" borderId="29" xfId="0" applyNumberFormat="1" applyFont="1" applyBorder="1" applyAlignment="1">
      <alignment vertical="center"/>
    </xf>
    <xf numFmtId="165" fontId="3" fillId="0" borderId="30" xfId="0" applyNumberFormat="1" applyFont="1" applyBorder="1" applyAlignment="1">
      <alignment vertical="center"/>
    </xf>
    <xf numFmtId="165" fontId="3" fillId="2" borderId="31" xfId="0" applyNumberFormat="1" applyFont="1" applyFill="1" applyBorder="1" applyAlignment="1">
      <alignment vertical="center"/>
    </xf>
    <xf numFmtId="165" fontId="3" fillId="2" borderId="30" xfId="0" applyNumberFormat="1" applyFont="1" applyFill="1" applyBorder="1" applyAlignment="1">
      <alignment vertical="center"/>
    </xf>
    <xf numFmtId="165" fontId="2" fillId="2" borderId="32" xfId="0" applyNumberFormat="1" applyFont="1" applyFill="1" applyBorder="1" applyAlignment="1">
      <alignment vertical="center"/>
    </xf>
    <xf numFmtId="165" fontId="3" fillId="0" borderId="33" xfId="0" applyNumberFormat="1" applyFont="1" applyBorder="1" applyAlignment="1">
      <alignment vertical="center"/>
    </xf>
    <xf numFmtId="165" fontId="3" fillId="2" borderId="29" xfId="0" applyNumberFormat="1" applyFont="1" applyFill="1" applyBorder="1" applyAlignment="1">
      <alignment vertical="center"/>
    </xf>
    <xf numFmtId="165" fontId="3" fillId="0" borderId="30" xfId="0" applyNumberFormat="1" applyFont="1" applyBorder="1" applyAlignment="1" applyProtection="1">
      <alignment vertical="center"/>
    </xf>
    <xf numFmtId="165" fontId="3" fillId="0" borderId="28" xfId="0" applyNumberFormat="1" applyFont="1" applyFill="1" applyBorder="1" applyAlignment="1">
      <alignment vertical="center"/>
    </xf>
    <xf numFmtId="165" fontId="3" fillId="2" borderId="33" xfId="0" applyNumberFormat="1" applyFont="1" applyFill="1" applyBorder="1" applyAlignment="1">
      <alignment vertical="center"/>
    </xf>
    <xf numFmtId="165" fontId="3" fillId="0" borderId="28" xfId="0" applyNumberFormat="1" applyFont="1" applyBorder="1" applyAlignment="1">
      <alignment vertical="center"/>
    </xf>
    <xf numFmtId="165" fontId="2" fillId="0" borderId="26" xfId="0" applyNumberFormat="1" applyFont="1" applyBorder="1" applyAlignment="1">
      <alignment vertical="center"/>
    </xf>
    <xf numFmtId="165" fontId="3" fillId="0" borderId="34" xfId="0" applyNumberFormat="1" applyFont="1" applyBorder="1" applyAlignment="1">
      <alignment vertical="center"/>
    </xf>
    <xf numFmtId="165" fontId="3" fillId="0" borderId="35" xfId="0" applyNumberFormat="1" applyFont="1" applyBorder="1" applyAlignment="1">
      <alignment vertical="center"/>
    </xf>
    <xf numFmtId="165" fontId="2" fillId="0" borderId="31" xfId="0" applyNumberFormat="1" applyFont="1" applyBorder="1" applyAlignment="1" applyProtection="1">
      <alignment vertical="center"/>
    </xf>
    <xf numFmtId="165" fontId="2" fillId="0" borderId="32" xfId="0" applyNumberFormat="1" applyFont="1" applyBorder="1" applyAlignment="1">
      <alignment vertical="center"/>
    </xf>
    <xf numFmtId="165" fontId="2" fillId="0" borderId="33" xfId="0" applyNumberFormat="1" applyFont="1" applyBorder="1" applyAlignment="1">
      <alignment vertical="center"/>
    </xf>
    <xf numFmtId="164" fontId="3" fillId="0" borderId="36" xfId="0" applyNumberFormat="1" applyFont="1" applyBorder="1" applyAlignment="1">
      <alignment horizontal="left" vertical="center"/>
    </xf>
    <xf numFmtId="165" fontId="2" fillId="0" borderId="37" xfId="0" applyNumberFormat="1" applyFont="1" applyBorder="1" applyAlignment="1">
      <alignment vertical="center"/>
    </xf>
    <xf numFmtId="165" fontId="3" fillId="0" borderId="38" xfId="0" applyNumberFormat="1" applyFont="1" applyBorder="1" applyAlignment="1">
      <alignment vertical="center"/>
    </xf>
    <xf numFmtId="165" fontId="2" fillId="0" borderId="39" xfId="0" applyNumberFormat="1" applyFont="1" applyBorder="1" applyAlignment="1">
      <alignment vertical="center"/>
    </xf>
    <xf numFmtId="165" fontId="2" fillId="0" borderId="40" xfId="0" applyNumberFormat="1" applyFont="1" applyBorder="1" applyAlignment="1">
      <alignment vertical="center"/>
    </xf>
    <xf numFmtId="165" fontId="3" fillId="0" borderId="41" xfId="0" applyNumberFormat="1" applyFont="1" applyBorder="1" applyAlignment="1">
      <alignment vertical="center"/>
    </xf>
    <xf numFmtId="165" fontId="3" fillId="2" borderId="38" xfId="0" applyNumberFormat="1" applyFont="1" applyFill="1" applyBorder="1" applyAlignment="1">
      <alignment vertical="center"/>
    </xf>
    <xf numFmtId="165" fontId="3" fillId="2" borderId="35" xfId="0" applyNumberFormat="1" applyFont="1" applyFill="1" applyBorder="1" applyAlignment="1">
      <alignment vertical="center"/>
    </xf>
    <xf numFmtId="165" fontId="3" fillId="2" borderId="37" xfId="0" applyNumberFormat="1" applyFont="1" applyFill="1" applyBorder="1" applyAlignment="1">
      <alignment vertical="center"/>
    </xf>
    <xf numFmtId="165" fontId="3" fillId="2" borderId="41" xfId="0" applyNumberFormat="1" applyFont="1" applyFill="1" applyBorder="1" applyAlignment="1">
      <alignment vertical="center"/>
    </xf>
    <xf numFmtId="165" fontId="2" fillId="0" borderId="36" xfId="0" applyNumberFormat="1" applyFont="1" applyBorder="1" applyAlignment="1">
      <alignment vertical="center"/>
    </xf>
    <xf numFmtId="164" fontId="3" fillId="0" borderId="42" xfId="0" applyNumberFormat="1" applyFont="1" applyFill="1" applyBorder="1" applyAlignment="1">
      <alignment horizontal="left" vertical="center"/>
    </xf>
    <xf numFmtId="165" fontId="3" fillId="0" borderId="43" xfId="0" applyNumberFormat="1" applyFont="1" applyFill="1" applyBorder="1" applyAlignment="1">
      <alignment vertical="center"/>
    </xf>
    <xf numFmtId="165" fontId="3" fillId="0" borderId="44" xfId="0" applyNumberFormat="1" applyFont="1" applyFill="1" applyBorder="1" applyAlignment="1">
      <alignment vertical="center"/>
    </xf>
    <xf numFmtId="165" fontId="3" fillId="0" borderId="44" xfId="0" applyNumberFormat="1" applyFont="1" applyBorder="1" applyAlignment="1">
      <alignment vertical="center"/>
    </xf>
    <xf numFmtId="165" fontId="2" fillId="0" borderId="45" xfId="0" applyNumberFormat="1" applyFont="1" applyFill="1" applyBorder="1" applyAlignment="1">
      <alignment vertical="center"/>
    </xf>
    <xf numFmtId="165" fontId="3" fillId="0" borderId="46" xfId="0" applyNumberFormat="1" applyFont="1" applyFill="1" applyBorder="1" applyAlignment="1">
      <alignment vertical="center"/>
    </xf>
    <xf numFmtId="165" fontId="2" fillId="0" borderId="47" xfId="0" applyNumberFormat="1" applyFont="1" applyFill="1" applyBorder="1" applyAlignment="1">
      <alignment vertical="center"/>
    </xf>
    <xf numFmtId="165" fontId="2" fillId="0" borderId="47" xfId="0" applyNumberFormat="1" applyFont="1" applyBorder="1" applyAlignment="1">
      <alignment vertical="center"/>
    </xf>
    <xf numFmtId="165" fontId="2" fillId="0" borderId="48" xfId="0" applyNumberFormat="1" applyFont="1" applyFill="1" applyBorder="1" applyAlignment="1">
      <alignment vertical="center"/>
    </xf>
    <xf numFmtId="165" fontId="2" fillId="0" borderId="49" xfId="0" applyNumberFormat="1" applyFont="1" applyFill="1" applyBorder="1" applyAlignment="1">
      <alignment vertical="center"/>
    </xf>
    <xf numFmtId="165" fontId="3" fillId="0" borderId="46" xfId="0" applyNumberFormat="1" applyFont="1" applyBorder="1" applyAlignment="1">
      <alignment vertical="center"/>
    </xf>
    <xf numFmtId="165" fontId="3" fillId="0" borderId="45" xfId="0" applyNumberFormat="1" applyFont="1" applyBorder="1" applyAlignment="1">
      <alignment vertical="center"/>
    </xf>
    <xf numFmtId="165" fontId="3" fillId="2" borderId="44" xfId="0" applyNumberFormat="1" applyFont="1" applyFill="1" applyBorder="1" applyAlignment="1">
      <alignment vertical="center"/>
    </xf>
    <xf numFmtId="165" fontId="3" fillId="2" borderId="49" xfId="0" applyNumberFormat="1" applyFont="1" applyFill="1" applyBorder="1" applyAlignment="1">
      <alignment vertical="center"/>
    </xf>
    <xf numFmtId="165" fontId="3" fillId="0" borderId="49" xfId="0" applyNumberFormat="1" applyFont="1" applyFill="1" applyBorder="1" applyAlignment="1">
      <alignment vertical="center"/>
    </xf>
    <xf numFmtId="165" fontId="2" fillId="0" borderId="42" xfId="0" applyNumberFormat="1" applyFont="1" applyFill="1" applyBorder="1" applyAlignment="1">
      <alignment vertical="center"/>
    </xf>
    <xf numFmtId="164" fontId="3" fillId="0" borderId="50" xfId="0" applyNumberFormat="1" applyFont="1" applyBorder="1" applyAlignment="1">
      <alignment horizontal="left" vertical="center"/>
    </xf>
    <xf numFmtId="165" fontId="3" fillId="0" borderId="51" xfId="0" applyNumberFormat="1" applyFont="1" applyBorder="1" applyAlignment="1">
      <alignment vertical="center"/>
    </xf>
    <xf numFmtId="165" fontId="3" fillId="0" borderId="52" xfId="0" applyNumberFormat="1" applyFont="1" applyBorder="1" applyAlignment="1">
      <alignment vertical="center"/>
    </xf>
    <xf numFmtId="165" fontId="2" fillId="0" borderId="53" xfId="0" applyNumberFormat="1" applyFont="1" applyBorder="1" applyAlignment="1">
      <alignment vertical="center"/>
    </xf>
    <xf numFmtId="165" fontId="3" fillId="0" borderId="54" xfId="0" applyNumberFormat="1" applyFont="1" applyBorder="1" applyAlignment="1" applyProtection="1">
      <alignment vertical="center"/>
    </xf>
    <xf numFmtId="165" fontId="3" fillId="0" borderId="52" xfId="0" applyNumberFormat="1" applyFont="1" applyBorder="1" applyAlignment="1" applyProtection="1">
      <alignment vertical="center"/>
    </xf>
    <xf numFmtId="165" fontId="2" fillId="0" borderId="55" xfId="0" applyNumberFormat="1" applyFont="1" applyBorder="1" applyAlignment="1" applyProtection="1">
      <alignment vertical="center"/>
    </xf>
    <xf numFmtId="165" fontId="2" fillId="0" borderId="55" xfId="0" applyNumberFormat="1" applyFont="1" applyBorder="1" applyAlignment="1">
      <alignment vertical="center"/>
    </xf>
    <xf numFmtId="165" fontId="2" fillId="0" borderId="56" xfId="0" applyNumberFormat="1" applyFont="1" applyBorder="1" applyAlignment="1">
      <alignment vertical="center"/>
    </xf>
    <xf numFmtId="165" fontId="2" fillId="0" borderId="57" xfId="0" applyNumberFormat="1" applyFont="1" applyBorder="1" applyAlignment="1">
      <alignment vertical="center"/>
    </xf>
    <xf numFmtId="165" fontId="3" fillId="0" borderId="54" xfId="0" applyNumberFormat="1" applyFont="1" applyBorder="1" applyAlignment="1">
      <alignment vertical="center"/>
    </xf>
    <xf numFmtId="165" fontId="3" fillId="0" borderId="53" xfId="0" applyNumberFormat="1" applyFont="1" applyBorder="1" applyAlignment="1">
      <alignment vertical="center"/>
    </xf>
    <xf numFmtId="165" fontId="3" fillId="0" borderId="52" xfId="0" applyNumberFormat="1" applyFont="1" applyFill="1" applyBorder="1" applyAlignment="1">
      <alignment vertical="center"/>
    </xf>
    <xf numFmtId="165" fontId="3" fillId="0" borderId="57" xfId="0" applyNumberFormat="1" applyFont="1" applyBorder="1" applyAlignment="1">
      <alignment vertical="center"/>
    </xf>
    <xf numFmtId="165" fontId="2" fillId="0" borderId="50" xfId="0" applyNumberFormat="1" applyFont="1" applyBorder="1" applyAlignment="1">
      <alignment vertical="center"/>
    </xf>
    <xf numFmtId="165" fontId="3" fillId="2" borderId="54" xfId="0" applyNumberFormat="1" applyFont="1" applyFill="1" applyBorder="1" applyAlignment="1">
      <alignment vertical="center"/>
    </xf>
    <xf numFmtId="165" fontId="3" fillId="2" borderId="52" xfId="0" applyNumberFormat="1" applyFont="1" applyFill="1" applyBorder="1" applyAlignment="1">
      <alignment vertical="center"/>
    </xf>
    <xf numFmtId="165" fontId="2" fillId="0" borderId="45" xfId="0" applyNumberFormat="1" applyFont="1" applyBorder="1" applyAlignment="1">
      <alignment vertical="center"/>
    </xf>
    <xf numFmtId="165" fontId="2" fillId="0" borderId="48" xfId="0" applyNumberFormat="1" applyFont="1" applyBorder="1" applyAlignment="1">
      <alignment vertical="center"/>
    </xf>
    <xf numFmtId="165" fontId="2" fillId="0" borderId="49" xfId="0" applyNumberFormat="1" applyFont="1" applyBorder="1" applyAlignment="1">
      <alignment vertical="center"/>
    </xf>
    <xf numFmtId="165" fontId="3" fillId="2" borderId="46" xfId="0" applyNumberFormat="1" applyFont="1" applyFill="1" applyBorder="1" applyAlignment="1">
      <alignment vertical="center"/>
    </xf>
    <xf numFmtId="165" fontId="3" fillId="0" borderId="49" xfId="0" applyNumberFormat="1" applyFont="1" applyBorder="1" applyAlignment="1">
      <alignment vertical="center"/>
    </xf>
    <xf numFmtId="165" fontId="2" fillId="0" borderId="42" xfId="0" applyNumberFormat="1" applyFont="1" applyBorder="1" applyAlignment="1">
      <alignment vertical="center"/>
    </xf>
    <xf numFmtId="164" fontId="3" fillId="0" borderId="42" xfId="0" applyNumberFormat="1" applyFont="1" applyBorder="1" applyAlignment="1">
      <alignment horizontal="left" vertical="center"/>
    </xf>
    <xf numFmtId="165" fontId="3" fillId="0" borderId="43" xfId="0" applyNumberFormat="1" applyFont="1" applyBorder="1" applyAlignment="1">
      <alignment vertical="center"/>
    </xf>
    <xf numFmtId="165" fontId="3" fillId="0" borderId="47" xfId="0" applyNumberFormat="1" applyFont="1" applyBorder="1" applyAlignment="1">
      <alignment vertical="center"/>
    </xf>
    <xf numFmtId="165" fontId="3" fillId="0" borderId="48" xfId="0" applyNumberFormat="1" applyFont="1" applyBorder="1" applyAlignment="1">
      <alignment vertical="center"/>
    </xf>
    <xf numFmtId="165" fontId="3" fillId="0" borderId="42" xfId="0" applyNumberFormat="1" applyFont="1" applyBorder="1" applyAlignment="1">
      <alignment vertical="center"/>
    </xf>
    <xf numFmtId="165" fontId="3" fillId="0" borderId="45" xfId="0" applyNumberFormat="1" applyFont="1" applyFill="1" applyBorder="1" applyAlignment="1">
      <alignment vertical="center"/>
    </xf>
    <xf numFmtId="165" fontId="3" fillId="0" borderId="53" xfId="0" applyNumberFormat="1" applyFont="1" applyFill="1" applyBorder="1" applyAlignment="1">
      <alignment vertical="center"/>
    </xf>
    <xf numFmtId="165" fontId="3" fillId="3" borderId="57" xfId="0" applyNumberFormat="1" applyFont="1" applyFill="1" applyBorder="1" applyAlignment="1">
      <alignment vertical="center"/>
    </xf>
    <xf numFmtId="165" fontId="2" fillId="0" borderId="52" xfId="0" applyNumberFormat="1" applyFont="1" applyBorder="1" applyAlignment="1">
      <alignment vertical="center"/>
    </xf>
    <xf numFmtId="165" fontId="3" fillId="3" borderId="49" xfId="0" applyNumberFormat="1" applyFont="1" applyFill="1" applyBorder="1" applyAlignment="1">
      <alignment vertical="center"/>
    </xf>
    <xf numFmtId="164" fontId="3" fillId="0" borderId="16" xfId="0" applyNumberFormat="1" applyFont="1" applyBorder="1" applyAlignment="1">
      <alignment horizontal="left" vertical="center"/>
    </xf>
    <xf numFmtId="165" fontId="3" fillId="0" borderId="9" xfId="0" applyNumberFormat="1" applyFont="1" applyBorder="1" applyAlignment="1">
      <alignment vertical="center"/>
    </xf>
    <xf numFmtId="165" fontId="3" fillId="0" borderId="10" xfId="0" applyNumberFormat="1" applyFont="1" applyBorder="1" applyAlignment="1">
      <alignment vertical="center"/>
    </xf>
    <xf numFmtId="165" fontId="2" fillId="0" borderId="11" xfId="0" applyNumberFormat="1" applyFont="1" applyBorder="1" applyAlignment="1">
      <alignment vertical="center"/>
    </xf>
    <xf numFmtId="165" fontId="3" fillId="2" borderId="12" xfId="0" applyNumberFormat="1" applyFont="1" applyFill="1" applyBorder="1" applyAlignment="1">
      <alignment vertical="center"/>
    </xf>
    <xf numFmtId="165" fontId="3" fillId="2" borderId="10" xfId="0" applyNumberFormat="1" applyFont="1" applyFill="1" applyBorder="1" applyAlignment="1">
      <alignment vertical="center"/>
    </xf>
    <xf numFmtId="165" fontId="2" fillId="0" borderId="13" xfId="0" applyNumberFormat="1" applyFont="1" applyBorder="1" applyAlignment="1">
      <alignment vertical="center"/>
    </xf>
    <xf numFmtId="165" fontId="3" fillId="0" borderId="12" xfId="0" applyNumberFormat="1" applyFont="1" applyBorder="1" applyAlignment="1">
      <alignment vertical="center"/>
    </xf>
    <xf numFmtId="165" fontId="2" fillId="0" borderId="14" xfId="0" applyNumberFormat="1" applyFont="1" applyBorder="1" applyAlignment="1">
      <alignment vertical="center"/>
    </xf>
    <xf numFmtId="165" fontId="2" fillId="0" borderId="15" xfId="0" applyNumberFormat="1" applyFont="1" applyBorder="1" applyAlignment="1">
      <alignment vertical="center"/>
    </xf>
    <xf numFmtId="165" fontId="3" fillId="0" borderId="10" xfId="0" applyNumberFormat="1" applyFont="1" applyFill="1" applyBorder="1" applyAlignment="1">
      <alignment vertical="center"/>
    </xf>
    <xf numFmtId="165" fontId="3" fillId="0" borderId="11" xfId="0" applyNumberFormat="1" applyFont="1" applyFill="1" applyBorder="1" applyAlignment="1">
      <alignment vertical="center"/>
    </xf>
    <xf numFmtId="165" fontId="3" fillId="3" borderId="15" xfId="0" applyNumberFormat="1" applyFont="1" applyFill="1" applyBorder="1" applyAlignment="1">
      <alignment vertical="center"/>
    </xf>
    <xf numFmtId="165" fontId="2" fillId="0" borderId="10" xfId="0" applyNumberFormat="1" applyFont="1" applyBorder="1" applyAlignment="1">
      <alignment vertical="center"/>
    </xf>
    <xf numFmtId="165" fontId="2" fillId="0" borderId="16" xfId="0" applyNumberFormat="1" applyFont="1" applyBorder="1" applyAlignment="1">
      <alignment vertical="center"/>
    </xf>
    <xf numFmtId="165" fontId="5" fillId="0" borderId="44" xfId="0" applyNumberFormat="1" applyFont="1" applyBorder="1" applyAlignment="1">
      <alignment vertical="center"/>
    </xf>
    <xf numFmtId="165" fontId="6" fillId="4" borderId="10" xfId="0" applyNumberFormat="1" applyFont="1" applyFill="1" applyBorder="1" applyAlignment="1" applyProtection="1">
      <alignment vertical="center"/>
    </xf>
    <xf numFmtId="165" fontId="7" fillId="4" borderId="13" xfId="0" applyNumberFormat="1" applyFont="1" applyFill="1" applyBorder="1" applyAlignment="1" applyProtection="1">
      <alignment vertical="center"/>
    </xf>
    <xf numFmtId="165" fontId="3" fillId="0" borderId="15" xfId="0" applyNumberFormat="1" applyFont="1" applyBorder="1" applyAlignment="1">
      <alignment vertical="center"/>
    </xf>
    <xf numFmtId="164" fontId="3" fillId="0" borderId="58" xfId="0" applyNumberFormat="1" applyFont="1" applyBorder="1" applyAlignment="1">
      <alignment horizontal="left" vertical="center"/>
    </xf>
    <xf numFmtId="165" fontId="3" fillId="0" borderId="59" xfId="0" applyNumberFormat="1" applyFont="1" applyBorder="1" applyAlignment="1">
      <alignment vertical="center"/>
    </xf>
    <xf numFmtId="165" fontId="3" fillId="0" borderId="60" xfId="0" applyNumberFormat="1" applyFont="1" applyBorder="1" applyAlignment="1">
      <alignment vertical="center"/>
    </xf>
    <xf numFmtId="165" fontId="2" fillId="0" borderId="61" xfId="0" applyNumberFormat="1" applyFont="1" applyBorder="1" applyAlignment="1">
      <alignment vertical="center"/>
    </xf>
    <xf numFmtId="165" fontId="3" fillId="2" borderId="62" xfId="0" applyNumberFormat="1" applyFont="1" applyFill="1" applyBorder="1" applyAlignment="1">
      <alignment vertical="center"/>
    </xf>
    <xf numFmtId="165" fontId="3" fillId="2" borderId="60" xfId="0" applyNumberFormat="1" applyFont="1" applyFill="1" applyBorder="1" applyAlignment="1">
      <alignment vertical="center"/>
    </xf>
    <xf numFmtId="165" fontId="2" fillId="0" borderId="63" xfId="0" applyNumberFormat="1" applyFont="1" applyBorder="1" applyAlignment="1">
      <alignment vertical="center"/>
    </xf>
    <xf numFmtId="165" fontId="3" fillId="0" borderId="62" xfId="0" applyNumberFormat="1" applyFont="1" applyBorder="1" applyAlignment="1">
      <alignment vertical="center"/>
    </xf>
    <xf numFmtId="165" fontId="2" fillId="0" borderId="64" xfId="0" applyNumberFormat="1" applyFont="1" applyBorder="1" applyAlignment="1">
      <alignment vertical="center"/>
    </xf>
    <xf numFmtId="165" fontId="2" fillId="0" borderId="65" xfId="0" applyNumberFormat="1" applyFont="1" applyBorder="1" applyAlignment="1">
      <alignment vertical="center"/>
    </xf>
    <xf numFmtId="165" fontId="3" fillId="0" borderId="60" xfId="0" applyNumberFormat="1" applyFont="1" applyFill="1" applyBorder="1" applyAlignment="1">
      <alignment vertical="center"/>
    </xf>
    <xf numFmtId="165" fontId="3" fillId="0" borderId="61" xfId="0" applyNumberFormat="1" applyFont="1" applyFill="1" applyBorder="1" applyAlignment="1">
      <alignment vertical="center"/>
    </xf>
    <xf numFmtId="165" fontId="2" fillId="0" borderId="58" xfId="0" applyNumberFormat="1" applyFont="1" applyBorder="1" applyAlignment="1">
      <alignment vertical="center"/>
    </xf>
    <xf numFmtId="0" fontId="3" fillId="0" borderId="0" xfId="0" applyFont="1" applyAlignment="1">
      <alignment vertical="center"/>
    </xf>
    <xf numFmtId="0" fontId="10" fillId="0" borderId="0" xfId="0" applyFont="1"/>
    <xf numFmtId="0" fontId="3" fillId="0" borderId="6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1" fontId="4" fillId="0" borderId="66" xfId="0" applyNumberFormat="1" applyFont="1" applyBorder="1" applyAlignment="1">
      <alignment horizontal="center" vertical="center"/>
    </xf>
    <xf numFmtId="0" fontId="2" fillId="0" borderId="18" xfId="0" applyFont="1" applyBorder="1" applyAlignment="1">
      <alignment vertical="center"/>
    </xf>
    <xf numFmtId="165" fontId="3" fillId="2" borderId="25" xfId="0" applyNumberFormat="1" applyFont="1" applyFill="1" applyBorder="1" applyAlignment="1" applyProtection="1">
      <alignment vertical="center"/>
    </xf>
    <xf numFmtId="165" fontId="3" fillId="0" borderId="24" xfId="0" applyNumberFormat="1" applyFont="1" applyFill="1" applyBorder="1" applyAlignment="1">
      <alignment vertical="center"/>
    </xf>
    <xf numFmtId="165" fontId="3" fillId="0" borderId="18" xfId="0" applyNumberFormat="1" applyFont="1" applyFill="1" applyBorder="1" applyAlignment="1">
      <alignment vertical="center"/>
    </xf>
    <xf numFmtId="0" fontId="2" fillId="0" borderId="27" xfId="0" applyFont="1" applyBorder="1" applyAlignment="1">
      <alignment vertical="center"/>
    </xf>
    <xf numFmtId="165" fontId="3" fillId="2" borderId="67" xfId="0" applyNumberFormat="1" applyFont="1" applyFill="1" applyBorder="1" applyAlignment="1">
      <alignment vertical="center"/>
    </xf>
    <xf numFmtId="165" fontId="3" fillId="2" borderId="27" xfId="0" applyNumberFormat="1" applyFont="1" applyFill="1" applyBorder="1" applyAlignment="1">
      <alignment vertical="center"/>
    </xf>
    <xf numFmtId="0" fontId="2" fillId="0" borderId="34" xfId="0" applyFont="1" applyBorder="1" applyAlignment="1">
      <alignment vertical="center"/>
    </xf>
    <xf numFmtId="165" fontId="3" fillId="2" borderId="68" xfId="0" applyNumberFormat="1" applyFont="1" applyFill="1" applyBorder="1" applyAlignment="1">
      <alignment vertical="center"/>
    </xf>
    <xf numFmtId="165" fontId="3" fillId="2" borderId="34" xfId="0" applyNumberFormat="1" applyFont="1" applyFill="1" applyBorder="1" applyAlignment="1">
      <alignment vertical="center"/>
    </xf>
    <xf numFmtId="0" fontId="14" fillId="0" borderId="9" xfId="0" applyFont="1" applyBorder="1" applyAlignment="1">
      <alignment horizontal="left" vertical="center" indent="1"/>
    </xf>
    <xf numFmtId="164" fontId="14" fillId="0" borderId="16" xfId="0" applyNumberFormat="1" applyFont="1" applyBorder="1" applyAlignment="1">
      <alignment horizontal="left" vertical="center"/>
    </xf>
    <xf numFmtId="165" fontId="14" fillId="0" borderId="9" xfId="0" applyNumberFormat="1" applyFont="1" applyBorder="1" applyAlignment="1">
      <alignment vertical="center"/>
    </xf>
    <xf numFmtId="165" fontId="14" fillId="0" borderId="10" xfId="0" applyNumberFormat="1" applyFont="1" applyBorder="1" applyAlignment="1">
      <alignment vertical="center"/>
    </xf>
    <xf numFmtId="165" fontId="14" fillId="0" borderId="11" xfId="0" applyNumberFormat="1" applyFont="1" applyBorder="1" applyAlignment="1">
      <alignment vertical="center"/>
    </xf>
    <xf numFmtId="165" fontId="14" fillId="0" borderId="12" xfId="0" applyNumberFormat="1" applyFont="1" applyBorder="1" applyAlignment="1">
      <alignment vertical="center"/>
    </xf>
    <xf numFmtId="165" fontId="14" fillId="0" borderId="10" xfId="0" applyNumberFormat="1" applyFont="1" applyBorder="1" applyAlignment="1" applyProtection="1">
      <alignment vertical="center"/>
    </xf>
    <xf numFmtId="165" fontId="14" fillId="0" borderId="13" xfId="0" applyNumberFormat="1" applyFont="1" applyBorder="1" applyAlignment="1">
      <alignment vertical="center"/>
    </xf>
    <xf numFmtId="165" fontId="14" fillId="0" borderId="12" xfId="0" applyNumberFormat="1" applyFont="1" applyBorder="1" applyAlignment="1" applyProtection="1">
      <alignment vertical="center"/>
    </xf>
    <xf numFmtId="165" fontId="14" fillId="0" borderId="14" xfId="0" applyNumberFormat="1" applyFont="1" applyBorder="1" applyAlignment="1">
      <alignment vertical="center"/>
    </xf>
    <xf numFmtId="165" fontId="14" fillId="0" borderId="15" xfId="0" applyNumberFormat="1" applyFont="1" applyBorder="1" applyAlignment="1">
      <alignment vertical="center"/>
    </xf>
    <xf numFmtId="165" fontId="14" fillId="2" borderId="12" xfId="0" applyNumberFormat="1" applyFont="1" applyFill="1" applyBorder="1" applyAlignment="1">
      <alignment vertical="center"/>
    </xf>
    <xf numFmtId="165" fontId="14" fillId="2" borderId="10" xfId="0" applyNumberFormat="1" applyFont="1" applyFill="1" applyBorder="1" applyAlignment="1">
      <alignment vertical="center"/>
    </xf>
    <xf numFmtId="165" fontId="14" fillId="2" borderId="11" xfId="0" applyNumberFormat="1" applyFont="1" applyFill="1" applyBorder="1" applyAlignment="1">
      <alignment vertical="center"/>
    </xf>
    <xf numFmtId="165" fontId="14" fillId="2" borderId="66" xfId="0" applyNumberFormat="1" applyFont="1" applyFill="1" applyBorder="1" applyAlignment="1">
      <alignment vertical="center"/>
    </xf>
    <xf numFmtId="165" fontId="14" fillId="2" borderId="15" xfId="0" applyNumberFormat="1" applyFont="1" applyFill="1" applyBorder="1" applyAlignment="1">
      <alignment vertical="center"/>
    </xf>
    <xf numFmtId="165" fontId="14" fillId="2" borderId="9" xfId="0" applyNumberFormat="1" applyFont="1" applyFill="1" applyBorder="1" applyAlignment="1">
      <alignment vertical="center"/>
    </xf>
    <xf numFmtId="165" fontId="14" fillId="0" borderId="66" xfId="0" applyNumberFormat="1" applyFont="1" applyBorder="1" applyAlignment="1">
      <alignment vertical="center"/>
    </xf>
    <xf numFmtId="165" fontId="14" fillId="0" borderId="13" xfId="0" applyNumberFormat="1" applyFont="1" applyFill="1" applyBorder="1" applyAlignment="1">
      <alignment vertical="center"/>
    </xf>
    <xf numFmtId="165" fontId="14" fillId="2" borderId="14" xfId="0" applyNumberFormat="1" applyFont="1" applyFill="1" applyBorder="1" applyAlignment="1">
      <alignment vertical="center"/>
    </xf>
    <xf numFmtId="165" fontId="14" fillId="2" borderId="13" xfId="0" applyNumberFormat="1" applyFont="1" applyFill="1" applyBorder="1" applyAlignment="1">
      <alignment vertical="center"/>
    </xf>
    <xf numFmtId="0" fontId="2" fillId="0" borderId="43" xfId="0" applyFont="1" applyFill="1" applyBorder="1" applyAlignment="1">
      <alignment vertical="center"/>
    </xf>
    <xf numFmtId="165" fontId="3" fillId="2" borderId="69" xfId="0" applyNumberFormat="1" applyFont="1" applyFill="1" applyBorder="1" applyAlignment="1">
      <alignment vertical="center"/>
    </xf>
    <xf numFmtId="0" fontId="2" fillId="0" borderId="51" xfId="0" applyFont="1" applyBorder="1" applyAlignment="1">
      <alignment vertical="center"/>
    </xf>
    <xf numFmtId="165" fontId="3" fillId="0" borderId="70" xfId="0" applyNumberFormat="1" applyFont="1" applyBorder="1" applyAlignment="1">
      <alignment vertical="center"/>
    </xf>
    <xf numFmtId="165" fontId="14" fillId="0" borderId="9" xfId="0" applyNumberFormat="1" applyFont="1" applyBorder="1" applyAlignment="1" applyProtection="1">
      <alignment vertical="center"/>
    </xf>
    <xf numFmtId="165" fontId="14" fillId="0" borderId="13" xfId="0" applyNumberFormat="1" applyFont="1" applyBorder="1" applyAlignment="1" applyProtection="1">
      <alignment vertical="center"/>
    </xf>
    <xf numFmtId="165" fontId="15" fillId="0" borderId="9" xfId="0" applyNumberFormat="1" applyFont="1" applyBorder="1" applyAlignment="1" applyProtection="1">
      <alignment vertical="center"/>
    </xf>
    <xf numFmtId="165" fontId="14" fillId="0" borderId="66" xfId="0" applyNumberFormat="1" applyFont="1" applyBorder="1" applyAlignment="1" applyProtection="1">
      <alignment vertical="center"/>
    </xf>
    <xf numFmtId="0" fontId="15" fillId="0" borderId="9" xfId="0" applyFont="1" applyBorder="1" applyAlignment="1">
      <alignment horizontal="left" vertical="center" indent="2"/>
    </xf>
    <xf numFmtId="164" fontId="15" fillId="0" borderId="16" xfId="0" applyNumberFormat="1" applyFont="1" applyBorder="1" applyAlignment="1">
      <alignment horizontal="left" vertical="center"/>
    </xf>
    <xf numFmtId="165" fontId="15" fillId="0" borderId="10" xfId="0" applyNumberFormat="1" applyFont="1" applyBorder="1" applyAlignment="1">
      <alignment vertical="center"/>
    </xf>
    <xf numFmtId="165" fontId="15" fillId="0" borderId="11" xfId="0" applyNumberFormat="1" applyFont="1" applyBorder="1" applyAlignment="1">
      <alignment vertical="center"/>
    </xf>
    <xf numFmtId="165" fontId="15" fillId="0" borderId="12" xfId="0" applyNumberFormat="1" applyFont="1" applyBorder="1" applyAlignment="1">
      <alignment vertical="center"/>
    </xf>
    <xf numFmtId="165" fontId="15" fillId="2" borderId="10" xfId="0" applyNumberFormat="1" applyFont="1" applyFill="1" applyBorder="1" applyAlignment="1">
      <alignment vertical="center"/>
    </xf>
    <xf numFmtId="165" fontId="15" fillId="0" borderId="13" xfId="0" applyNumberFormat="1" applyFont="1" applyBorder="1" applyAlignment="1">
      <alignment vertical="center"/>
    </xf>
    <xf numFmtId="165" fontId="15" fillId="0" borderId="14" xfId="0" applyNumberFormat="1" applyFont="1" applyBorder="1" applyAlignment="1">
      <alignment vertical="center"/>
    </xf>
    <xf numFmtId="165" fontId="15" fillId="0" borderId="15" xfId="0" applyNumberFormat="1" applyFont="1" applyBorder="1" applyAlignment="1">
      <alignment vertical="center"/>
    </xf>
    <xf numFmtId="165" fontId="15" fillId="2" borderId="12" xfId="0" applyNumberFormat="1" applyFont="1" applyFill="1" applyBorder="1" applyAlignment="1">
      <alignment vertical="center"/>
    </xf>
    <xf numFmtId="165" fontId="15" fillId="0" borderId="66" xfId="0" applyNumberFormat="1" applyFont="1" applyBorder="1" applyAlignment="1">
      <alignment vertical="center"/>
    </xf>
    <xf numFmtId="165" fontId="15" fillId="0" borderId="9" xfId="0" applyNumberFormat="1" applyFont="1" applyBorder="1" applyAlignment="1">
      <alignment vertical="center"/>
    </xf>
    <xf numFmtId="165" fontId="3" fillId="2" borderId="70" xfId="0" applyNumberFormat="1" applyFont="1" applyFill="1" applyBorder="1" applyAlignment="1">
      <alignment vertical="center"/>
    </xf>
    <xf numFmtId="0" fontId="14" fillId="0" borderId="71" xfId="0" applyFont="1" applyBorder="1" applyAlignment="1">
      <alignment horizontal="left" vertical="center" indent="1"/>
    </xf>
    <xf numFmtId="164" fontId="14" fillId="0" borderId="72" xfId="0" applyNumberFormat="1" applyFont="1" applyBorder="1" applyAlignment="1">
      <alignment horizontal="left" vertical="center"/>
    </xf>
    <xf numFmtId="165" fontId="14" fillId="0" borderId="71" xfId="0" applyNumberFormat="1" applyFont="1" applyBorder="1" applyAlignment="1">
      <alignment vertical="center"/>
    </xf>
    <xf numFmtId="165" fontId="14" fillId="0" borderId="73" xfId="0" applyNumberFormat="1" applyFont="1" applyBorder="1" applyAlignment="1">
      <alignment vertical="center"/>
    </xf>
    <xf numFmtId="165" fontId="14" fillId="0" borderId="74" xfId="0" applyNumberFormat="1" applyFont="1" applyBorder="1" applyAlignment="1">
      <alignment vertical="center"/>
    </xf>
    <xf numFmtId="165" fontId="14" fillId="0" borderId="75" xfId="0" applyNumberFormat="1" applyFont="1" applyBorder="1" applyAlignment="1">
      <alignment vertical="center"/>
    </xf>
    <xf numFmtId="165" fontId="14" fillId="0" borderId="76" xfId="0" applyNumberFormat="1" applyFont="1" applyBorder="1" applyAlignment="1">
      <alignment vertical="center"/>
    </xf>
    <xf numFmtId="165" fontId="14" fillId="0" borderId="77" xfId="0" applyNumberFormat="1" applyFont="1" applyBorder="1" applyAlignment="1">
      <alignment vertical="center"/>
    </xf>
    <xf numFmtId="165" fontId="14" fillId="0" borderId="78" xfId="0" applyNumberFormat="1" applyFont="1" applyBorder="1" applyAlignment="1">
      <alignment vertical="center"/>
    </xf>
    <xf numFmtId="165" fontId="14" fillId="2" borderId="75" xfId="0" applyNumberFormat="1" applyFont="1" applyFill="1" applyBorder="1" applyAlignment="1">
      <alignment vertical="center"/>
    </xf>
    <xf numFmtId="165" fontId="14" fillId="2" borderId="73" xfId="0" applyNumberFormat="1" applyFont="1" applyFill="1" applyBorder="1" applyAlignment="1">
      <alignment vertical="center"/>
    </xf>
    <xf numFmtId="165" fontId="14" fillId="2" borderId="79" xfId="0" applyNumberFormat="1" applyFont="1" applyFill="1" applyBorder="1" applyAlignment="1">
      <alignment vertical="center"/>
    </xf>
    <xf numFmtId="165" fontId="14" fillId="0" borderId="79" xfId="0" applyNumberFormat="1" applyFont="1" applyBorder="1" applyAlignment="1">
      <alignment vertical="center"/>
    </xf>
    <xf numFmtId="0" fontId="17" fillId="0" borderId="71" xfId="0" applyFont="1" applyBorder="1" applyAlignment="1">
      <alignment vertical="center"/>
    </xf>
    <xf numFmtId="0" fontId="3" fillId="0" borderId="43" xfId="0" applyFont="1" applyBorder="1" applyAlignment="1">
      <alignment vertical="center"/>
    </xf>
    <xf numFmtId="0" fontId="2" fillId="0" borderId="43" xfId="0" applyFont="1" applyBorder="1" applyAlignment="1">
      <alignment vertical="center"/>
    </xf>
    <xf numFmtId="165" fontId="3" fillId="0" borderId="51" xfId="0" applyNumberFormat="1" applyFont="1" applyFill="1" applyBorder="1" applyAlignment="1">
      <alignment vertical="center"/>
    </xf>
    <xf numFmtId="165" fontId="14" fillId="0" borderId="10" xfId="0" applyNumberFormat="1" applyFont="1" applyFill="1" applyBorder="1" applyAlignment="1">
      <alignment vertical="center"/>
    </xf>
    <xf numFmtId="165" fontId="14" fillId="0" borderId="11" xfId="0" applyNumberFormat="1" applyFont="1" applyFill="1" applyBorder="1" applyAlignment="1">
      <alignment vertical="center"/>
    </xf>
    <xf numFmtId="165" fontId="14" fillId="3" borderId="15" xfId="0" applyNumberFormat="1" applyFont="1" applyFill="1" applyBorder="1" applyAlignment="1">
      <alignment vertical="center"/>
    </xf>
    <xf numFmtId="165" fontId="14" fillId="0" borderId="9" xfId="0" applyNumberFormat="1" applyFont="1" applyFill="1" applyBorder="1" applyAlignment="1">
      <alignment vertical="center"/>
    </xf>
    <xf numFmtId="0" fontId="2" fillId="0" borderId="9" xfId="0" applyFont="1" applyBorder="1" applyAlignment="1">
      <alignment vertical="center"/>
    </xf>
    <xf numFmtId="165" fontId="3" fillId="2" borderId="66" xfId="0" applyNumberFormat="1" applyFont="1" applyFill="1" applyBorder="1" applyAlignment="1">
      <alignment vertical="center"/>
    </xf>
    <xf numFmtId="165" fontId="2" fillId="0" borderId="54" xfId="0" applyNumberFormat="1" applyFont="1" applyBorder="1" applyAlignment="1">
      <alignment vertical="center"/>
    </xf>
    <xf numFmtId="165" fontId="14" fillId="0" borderId="15" xfId="0" applyNumberFormat="1" applyFont="1" applyFill="1" applyBorder="1" applyAlignment="1">
      <alignment vertical="center"/>
    </xf>
    <xf numFmtId="166" fontId="14" fillId="0" borderId="10" xfId="0" applyNumberFormat="1" applyFont="1" applyBorder="1" applyAlignment="1">
      <alignment vertical="center"/>
    </xf>
    <xf numFmtId="165" fontId="14" fillId="0" borderId="71" xfId="0" applyNumberFormat="1" applyFont="1" applyBorder="1" applyAlignment="1" applyProtection="1">
      <alignment vertical="center"/>
    </xf>
    <xf numFmtId="165" fontId="14" fillId="0" borderId="73" xfId="0" applyNumberFormat="1" applyFont="1" applyFill="1" applyBorder="1" applyAlignment="1">
      <alignment vertical="center"/>
    </xf>
    <xf numFmtId="165" fontId="14" fillId="0" borderId="74" xfId="0" applyNumberFormat="1" applyFont="1" applyFill="1" applyBorder="1" applyAlignment="1">
      <alignment vertical="center"/>
    </xf>
    <xf numFmtId="165" fontId="14" fillId="0" borderId="78" xfId="0" applyNumberFormat="1" applyFont="1" applyFill="1" applyBorder="1" applyAlignment="1">
      <alignment vertical="center"/>
    </xf>
    <xf numFmtId="165" fontId="3" fillId="3" borderId="43" xfId="0" applyNumberFormat="1" applyFont="1" applyFill="1" applyBorder="1" applyAlignment="1">
      <alignment vertical="center"/>
    </xf>
    <xf numFmtId="165" fontId="3" fillId="3" borderId="9" xfId="0" applyNumberFormat="1" applyFont="1" applyFill="1" applyBorder="1" applyAlignment="1">
      <alignment vertical="center"/>
    </xf>
    <xf numFmtId="165" fontId="14" fillId="3" borderId="9" xfId="0" applyNumberFormat="1" applyFont="1" applyFill="1" applyBorder="1" applyAlignment="1">
      <alignment vertical="center"/>
    </xf>
    <xf numFmtId="165" fontId="14" fillId="3" borderId="78" xfId="0" applyNumberFormat="1" applyFont="1" applyFill="1" applyBorder="1" applyAlignment="1">
      <alignment vertical="center"/>
    </xf>
    <xf numFmtId="165" fontId="14" fillId="3" borderId="71" xfId="0" applyNumberFormat="1" applyFont="1" applyFill="1" applyBorder="1" applyAlignment="1">
      <alignment vertical="center"/>
    </xf>
    <xf numFmtId="165" fontId="3" fillId="0" borderId="9" xfId="0" applyNumberFormat="1" applyFont="1" applyFill="1" applyBorder="1" applyAlignment="1">
      <alignment vertical="center"/>
    </xf>
    <xf numFmtId="0" fontId="2" fillId="0" borderId="59" xfId="0" applyFont="1" applyBorder="1" applyAlignment="1">
      <alignment horizontal="left" vertical="center"/>
    </xf>
    <xf numFmtId="165" fontId="3" fillId="2" borderId="80" xfId="0" applyNumberFormat="1" applyFont="1" applyFill="1" applyBorder="1" applyAlignment="1">
      <alignment vertical="center"/>
    </xf>
    <xf numFmtId="165" fontId="3" fillId="0" borderId="65" xfId="0" applyNumberFormat="1" applyFont="1" applyFill="1" applyBorder="1" applyAlignment="1">
      <alignment vertical="center"/>
    </xf>
    <xf numFmtId="165" fontId="3" fillId="0" borderId="59" xfId="0" applyNumberFormat="1" applyFont="1" applyFill="1" applyBorder="1" applyAlignment="1">
      <alignment vertical="center"/>
    </xf>
    <xf numFmtId="165" fontId="14" fillId="0" borderId="10" xfId="0" applyNumberFormat="1" applyFont="1" applyFill="1" applyBorder="1" applyAlignment="1" applyProtection="1">
      <alignment vertical="center"/>
    </xf>
    <xf numFmtId="165" fontId="15" fillId="0" borderId="10" xfId="0" applyNumberFormat="1" applyFont="1" applyFill="1" applyBorder="1" applyAlignment="1">
      <alignment vertical="center"/>
    </xf>
    <xf numFmtId="0" fontId="9" fillId="0" borderId="0" xfId="0" applyFont="1" applyAlignment="1"/>
    <xf numFmtId="0" fontId="9" fillId="0" borderId="0" xfId="0" applyFont="1"/>
    <xf numFmtId="165" fontId="3" fillId="0" borderId="67" xfId="0" applyNumberFormat="1" applyFont="1" applyFill="1" applyBorder="1" applyAlignment="1">
      <alignment vertical="center"/>
    </xf>
    <xf numFmtId="165" fontId="14" fillId="0" borderId="12" xfId="0" applyNumberFormat="1" applyFont="1" applyFill="1" applyBorder="1" applyAlignment="1">
      <alignment vertical="center"/>
    </xf>
    <xf numFmtId="165" fontId="14" fillId="0" borderId="66" xfId="0" applyNumberFormat="1" applyFont="1" applyFill="1" applyBorder="1" applyAlignment="1">
      <alignment vertical="center"/>
    </xf>
    <xf numFmtId="165" fontId="15" fillId="0" borderId="66" xfId="0" applyNumberFormat="1" applyFont="1" applyFill="1" applyBorder="1" applyAlignment="1">
      <alignment vertical="center"/>
    </xf>
    <xf numFmtId="165" fontId="3" fillId="2" borderId="25" xfId="0" applyNumberFormat="1" applyFont="1" applyFill="1" applyBorder="1" applyAlignment="1">
      <alignment vertical="center"/>
    </xf>
    <xf numFmtId="165" fontId="3" fillId="0" borderId="21" xfId="0" applyNumberFormat="1" applyFont="1" applyBorder="1" applyAlignment="1">
      <alignment vertical="center"/>
    </xf>
    <xf numFmtId="165" fontId="3" fillId="0" borderId="17" xfId="0" applyNumberFormat="1" applyFont="1" applyBorder="1" applyAlignment="1">
      <alignment vertical="center"/>
    </xf>
    <xf numFmtId="165" fontId="3" fillId="0" borderId="67" xfId="0" applyNumberFormat="1" applyFont="1" applyBorder="1" applyAlignment="1">
      <alignment vertical="center"/>
    </xf>
    <xf numFmtId="165" fontId="15" fillId="2" borderId="66" xfId="0" applyNumberFormat="1" applyFont="1" applyFill="1" applyBorder="1" applyAlignment="1">
      <alignment vertical="center"/>
    </xf>
    <xf numFmtId="3" fontId="4" fillId="0" borderId="66" xfId="0" applyNumberFormat="1" applyFont="1" applyBorder="1" applyAlignment="1">
      <alignment horizontal="center" vertical="center"/>
    </xf>
    <xf numFmtId="165" fontId="15" fillId="0" borderId="15" xfId="0" applyNumberFormat="1" applyFont="1" applyFill="1" applyBorder="1" applyAlignment="1">
      <alignment vertical="center"/>
    </xf>
    <xf numFmtId="165" fontId="14" fillId="0" borderId="12" xfId="0" applyNumberFormat="1" applyFont="1" applyFill="1" applyBorder="1" applyAlignment="1" applyProtection="1">
      <alignment vertical="center"/>
    </xf>
    <xf numFmtId="0" fontId="8" fillId="0" borderId="0" xfId="0" applyFont="1"/>
    <xf numFmtId="165" fontId="27" fillId="0" borderId="46" xfId="0" applyNumberFormat="1" applyFont="1" applyFill="1" applyBorder="1" applyAlignment="1">
      <alignment vertical="center"/>
    </xf>
    <xf numFmtId="165" fontId="27" fillId="0" borderId="44" xfId="0" applyNumberFormat="1" applyFont="1" applyBorder="1" applyAlignment="1">
      <alignment vertical="center"/>
    </xf>
    <xf numFmtId="1" fontId="2" fillId="0" borderId="81" xfId="0" applyNumberFormat="1" applyFont="1" applyFill="1" applyBorder="1" applyAlignment="1">
      <alignment horizontal="center" vertical="center" wrapText="1"/>
    </xf>
    <xf numFmtId="0" fontId="0" fillId="0" borderId="82" xfId="0" applyFill="1" applyBorder="1" applyAlignment="1">
      <alignment horizontal="center" vertical="center"/>
    </xf>
    <xf numFmtId="0" fontId="13" fillId="0" borderId="83" xfId="0" applyFont="1" applyFill="1" applyBorder="1" applyAlignment="1">
      <alignment horizontal="center" vertical="center"/>
    </xf>
    <xf numFmtId="0" fontId="18" fillId="0" borderId="7" xfId="0" quotePrefix="1" applyFont="1" applyFill="1" applyBorder="1" applyAlignment="1">
      <alignment horizontal="center" vertical="center"/>
    </xf>
    <xf numFmtId="0" fontId="13" fillId="0" borderId="0" xfId="0" applyFont="1"/>
    <xf numFmtId="0" fontId="19" fillId="0" borderId="0" xfId="0" applyFont="1" applyFill="1" applyAlignment="1">
      <alignment horizontal="left" indent="4"/>
    </xf>
    <xf numFmtId="0" fontId="12" fillId="0" borderId="0" xfId="0" applyFont="1" applyFill="1" applyBorder="1" applyAlignment="1">
      <alignment horizontal="left" indent="4"/>
    </xf>
    <xf numFmtId="0" fontId="3" fillId="0" borderId="28" xfId="0" applyFont="1" applyFill="1" applyBorder="1" applyAlignment="1">
      <alignment horizontal="center"/>
    </xf>
    <xf numFmtId="0" fontId="3" fillId="0" borderId="0" xfId="0" applyFont="1"/>
    <xf numFmtId="167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 vertical="top"/>
    </xf>
    <xf numFmtId="3" fontId="3" fillId="0" borderId="0" xfId="0" applyNumberFormat="1" applyFont="1" applyAlignment="1">
      <alignment horizontal="center" vertical="top"/>
    </xf>
    <xf numFmtId="167" fontId="3" fillId="0" borderId="0" xfId="0" applyNumberFormat="1" applyFont="1" applyAlignment="1">
      <alignment horizontal="center" vertical="top"/>
    </xf>
    <xf numFmtId="0" fontId="3" fillId="0" borderId="0" xfId="0" applyFont="1" applyAlignment="1">
      <alignment horizontal="left" indent="1"/>
    </xf>
    <xf numFmtId="0" fontId="3" fillId="0" borderId="0" xfId="0" applyFont="1" applyAlignment="1">
      <alignment horizontal="left" vertical="top" indent="1"/>
    </xf>
    <xf numFmtId="0" fontId="3" fillId="0" borderId="0" xfId="0" applyFont="1" applyAlignment="1">
      <alignment vertical="top" wrapText="1"/>
    </xf>
    <xf numFmtId="14" fontId="16" fillId="0" borderId="0" xfId="0" applyNumberFormat="1" applyFont="1" applyAlignment="1">
      <alignment horizontal="right"/>
    </xf>
    <xf numFmtId="0" fontId="22" fillId="0" borderId="0" xfId="2" applyFont="1" applyFill="1" applyAlignment="1">
      <alignment vertical="top"/>
    </xf>
    <xf numFmtId="0" fontId="18" fillId="0" borderId="0" xfId="2" applyFill="1"/>
    <xf numFmtId="0" fontId="22" fillId="0" borderId="0" xfId="2" applyFont="1" applyFill="1" applyBorder="1" applyAlignment="1">
      <alignment vertical="top"/>
    </xf>
    <xf numFmtId="0" fontId="19" fillId="0" borderId="0" xfId="2" applyFont="1" applyFill="1" applyAlignment="1">
      <alignment horizontal="left" indent="1"/>
    </xf>
    <xf numFmtId="0" fontId="12" fillId="0" borderId="0" xfId="2" applyFont="1" applyFill="1" applyBorder="1" applyAlignment="1">
      <alignment horizontal="left" indent="1"/>
    </xf>
    <xf numFmtId="0" fontId="8" fillId="0" borderId="0" xfId="2" applyFont="1" applyFill="1"/>
    <xf numFmtId="0" fontId="25" fillId="0" borderId="0" xfId="1" applyFont="1" applyFill="1" applyBorder="1" applyAlignment="1" applyProtection="1">
      <alignment vertical="top"/>
    </xf>
    <xf numFmtId="0" fontId="24" fillId="0" borderId="84" xfId="2" applyFont="1" applyFill="1" applyBorder="1" applyAlignment="1">
      <alignment horizontal="left" vertical="top" indent="1"/>
    </xf>
    <xf numFmtId="0" fontId="22" fillId="0" borderId="84" xfId="2" applyFont="1" applyFill="1" applyBorder="1" applyAlignment="1">
      <alignment vertical="top"/>
    </xf>
    <xf numFmtId="0" fontId="22" fillId="0" borderId="0" xfId="2" applyFont="1" applyFill="1" applyAlignment="1">
      <alignment horizontal="right" vertical="top"/>
    </xf>
    <xf numFmtId="0" fontId="22" fillId="0" borderId="0" xfId="2" applyFont="1" applyFill="1" applyAlignment="1">
      <alignment vertical="top" wrapText="1"/>
    </xf>
    <xf numFmtId="0" fontId="22" fillId="0" borderId="0" xfId="2" applyFont="1" applyFill="1" applyAlignment="1">
      <alignment horizontal="left" vertical="top" indent="1"/>
    </xf>
    <xf numFmtId="0" fontId="22" fillId="0" borderId="0" xfId="2" applyFont="1" applyFill="1" applyAlignment="1">
      <alignment horizontal="left" vertical="top"/>
    </xf>
    <xf numFmtId="0" fontId="21" fillId="0" borderId="84" xfId="2" applyFont="1" applyFill="1" applyBorder="1" applyAlignment="1">
      <alignment horizontal="left" vertical="top" indent="1"/>
    </xf>
    <xf numFmtId="0" fontId="22" fillId="0" borderId="0" xfId="2" applyFont="1" applyFill="1" applyAlignment="1">
      <alignment horizontal="right" vertical="top" wrapText="1"/>
    </xf>
    <xf numFmtId="165" fontId="2" fillId="0" borderId="20" xfId="0" applyNumberFormat="1" applyFont="1" applyBorder="1" applyAlignment="1" applyProtection="1">
      <alignment vertical="center"/>
    </xf>
    <xf numFmtId="165" fontId="2" fillId="2" borderId="29" xfId="0" applyNumberFormat="1" applyFont="1" applyFill="1" applyBorder="1" applyAlignment="1">
      <alignment vertical="center"/>
    </xf>
    <xf numFmtId="165" fontId="14" fillId="0" borderId="11" xfId="0" applyNumberFormat="1" applyFont="1" applyBorder="1" applyAlignment="1" applyProtection="1">
      <alignment vertical="center"/>
    </xf>
    <xf numFmtId="165" fontId="15" fillId="0" borderId="11" xfId="0" applyNumberFormat="1" applyFont="1" applyFill="1" applyBorder="1" applyAlignment="1">
      <alignment vertical="center"/>
    </xf>
    <xf numFmtId="165" fontId="2" fillId="0" borderId="53" xfId="0" applyNumberFormat="1" applyFont="1" applyBorder="1" applyAlignment="1" applyProtection="1">
      <alignment vertical="center"/>
    </xf>
    <xf numFmtId="165" fontId="2" fillId="5" borderId="45" xfId="0" applyNumberFormat="1" applyFont="1" applyFill="1" applyBorder="1" applyAlignment="1">
      <alignment vertical="center"/>
    </xf>
    <xf numFmtId="165" fontId="3" fillId="0" borderId="11" xfId="0" applyNumberFormat="1" applyFont="1" applyBorder="1" applyAlignment="1">
      <alignment vertical="center"/>
    </xf>
    <xf numFmtId="165" fontId="28" fillId="0" borderId="12" xfId="0" applyNumberFormat="1" applyFont="1" applyFill="1" applyBorder="1" applyAlignment="1">
      <alignment vertical="center"/>
    </xf>
    <xf numFmtId="165" fontId="28" fillId="0" borderId="10" xfId="0" applyNumberFormat="1" applyFont="1" applyFill="1" applyBorder="1" applyAlignment="1">
      <alignment vertical="center"/>
    </xf>
    <xf numFmtId="165" fontId="28" fillId="0" borderId="66" xfId="0" applyNumberFormat="1" applyFont="1" applyFill="1" applyBorder="1" applyAlignment="1">
      <alignment vertical="center"/>
    </xf>
    <xf numFmtId="165" fontId="14" fillId="6" borderId="78" xfId="0" applyNumberFormat="1" applyFont="1" applyFill="1" applyBorder="1" applyAlignment="1">
      <alignment vertical="center"/>
    </xf>
    <xf numFmtId="165" fontId="14" fillId="6" borderId="11" xfId="0" applyNumberFormat="1" applyFont="1" applyFill="1" applyBorder="1" applyAlignment="1" applyProtection="1">
      <alignment vertical="center"/>
    </xf>
    <xf numFmtId="165" fontId="14" fillId="6" borderId="12" xfId="0" applyNumberFormat="1" applyFont="1" applyFill="1" applyBorder="1" applyAlignment="1">
      <alignment vertical="center"/>
    </xf>
    <xf numFmtId="3" fontId="9" fillId="0" borderId="0" xfId="0" applyNumberFormat="1" applyFont="1" applyFill="1" applyAlignment="1"/>
    <xf numFmtId="3" fontId="0" fillId="0" borderId="0" xfId="0" applyNumberFormat="1"/>
    <xf numFmtId="3" fontId="19" fillId="0" borderId="0" xfId="0" applyNumberFormat="1" applyFont="1" applyFill="1" applyAlignment="1">
      <alignment horizontal="left" indent="5"/>
    </xf>
    <xf numFmtId="3" fontId="11" fillId="0" borderId="0" xfId="0" applyNumberFormat="1" applyFont="1" applyFill="1" applyAlignment="1">
      <alignment horizontal="left"/>
    </xf>
    <xf numFmtId="3" fontId="12" fillId="0" borderId="0" xfId="0" applyNumberFormat="1" applyFont="1" applyFill="1" applyBorder="1" applyAlignment="1">
      <alignment horizontal="left" indent="5"/>
    </xf>
    <xf numFmtId="3" fontId="11" fillId="0" borderId="0" xfId="0" applyNumberFormat="1" applyFont="1" applyFill="1" applyBorder="1" applyAlignment="1">
      <alignment horizontal="left"/>
    </xf>
    <xf numFmtId="3" fontId="8" fillId="0" borderId="0" xfId="0" applyNumberFormat="1" applyFont="1"/>
    <xf numFmtId="3" fontId="8" fillId="0" borderId="0" xfId="0" applyNumberFormat="1" applyFont="1" applyAlignment="1">
      <alignment horizontal="center"/>
    </xf>
    <xf numFmtId="0" fontId="22" fillId="0" borderId="0" xfId="2" applyFont="1" applyFill="1" applyAlignment="1">
      <alignment horizontal="left" vertical="top" wrapText="1"/>
    </xf>
    <xf numFmtId="165" fontId="3" fillId="0" borderId="69" xfId="0" applyNumberFormat="1" applyFont="1" applyBorder="1" applyAlignment="1">
      <alignment vertical="center"/>
    </xf>
    <xf numFmtId="165" fontId="2" fillId="0" borderId="70" xfId="0" applyNumberFormat="1" applyFont="1" applyBorder="1" applyAlignment="1">
      <alignment vertical="center"/>
    </xf>
    <xf numFmtId="165" fontId="2" fillId="0" borderId="66" xfId="0" applyNumberFormat="1" applyFont="1" applyBorder="1" applyAlignment="1">
      <alignment vertical="center"/>
    </xf>
    <xf numFmtId="165" fontId="3" fillId="0" borderId="66" xfId="0" applyNumberFormat="1" applyFont="1" applyBorder="1" applyAlignment="1">
      <alignment vertical="center"/>
    </xf>
    <xf numFmtId="165" fontId="3" fillId="0" borderId="31" xfId="0" applyNumberFormat="1" applyFont="1" applyBorder="1" applyAlignment="1">
      <alignment vertical="center"/>
    </xf>
    <xf numFmtId="165" fontId="3" fillId="0" borderId="55" xfId="0" applyNumberFormat="1" applyFont="1" applyBorder="1" applyAlignment="1">
      <alignment vertical="center"/>
    </xf>
    <xf numFmtId="165" fontId="3" fillId="0" borderId="63" xfId="0" applyNumberFormat="1" applyFont="1" applyBorder="1" applyAlignment="1">
      <alignment vertical="center"/>
    </xf>
    <xf numFmtId="1" fontId="2" fillId="0" borderId="85" xfId="0" applyNumberFormat="1" applyFont="1" applyBorder="1" applyAlignment="1">
      <alignment horizontal="center" vertical="center" wrapText="1"/>
    </xf>
    <xf numFmtId="165" fontId="29" fillId="0" borderId="14" xfId="0" applyNumberFormat="1" applyFont="1" applyBorder="1" applyAlignment="1">
      <alignment vertical="center"/>
    </xf>
    <xf numFmtId="165" fontId="29" fillId="0" borderId="16" xfId="0" applyNumberFormat="1" applyFont="1" applyBorder="1" applyAlignment="1">
      <alignment vertical="center"/>
    </xf>
    <xf numFmtId="165" fontId="29" fillId="2" borderId="14" xfId="0" applyNumberFormat="1" applyFont="1" applyFill="1" applyBorder="1" applyAlignment="1">
      <alignment vertical="center"/>
    </xf>
    <xf numFmtId="165" fontId="3" fillId="0" borderId="14" xfId="0" applyNumberFormat="1" applyFont="1" applyBorder="1" applyAlignment="1">
      <alignment vertical="center"/>
    </xf>
    <xf numFmtId="165" fontId="29" fillId="0" borderId="77" xfId="0" applyNumberFormat="1" applyFont="1" applyBorder="1" applyAlignment="1">
      <alignment vertical="center"/>
    </xf>
    <xf numFmtId="165" fontId="29" fillId="0" borderId="72" xfId="0" applyNumberFormat="1" applyFont="1" applyBorder="1" applyAlignment="1">
      <alignment vertical="center"/>
    </xf>
    <xf numFmtId="165" fontId="2" fillId="0" borderId="56" xfId="0" applyNumberFormat="1" applyFont="1" applyFill="1" applyBorder="1" applyAlignment="1">
      <alignment vertical="center"/>
    </xf>
    <xf numFmtId="165" fontId="29" fillId="0" borderId="14" xfId="0" applyNumberFormat="1" applyFont="1" applyFill="1" applyBorder="1" applyAlignment="1">
      <alignment vertical="center"/>
    </xf>
    <xf numFmtId="165" fontId="2" fillId="0" borderId="14" xfId="0" applyNumberFormat="1" applyFont="1" applyFill="1" applyBorder="1" applyAlignment="1">
      <alignment vertical="center"/>
    </xf>
    <xf numFmtId="165" fontId="29" fillId="0" borderId="77" xfId="0" applyNumberFormat="1" applyFont="1" applyFill="1" applyBorder="1" applyAlignment="1">
      <alignment vertical="center"/>
    </xf>
    <xf numFmtId="165" fontId="2" fillId="0" borderId="64" xfId="0" applyNumberFormat="1" applyFont="1" applyFill="1" applyBorder="1" applyAlignment="1">
      <alignment vertical="center"/>
    </xf>
    <xf numFmtId="0" fontId="3" fillId="0" borderId="0" xfId="2" applyFont="1" applyFill="1" applyAlignment="1">
      <alignment horizontal="left" vertical="center" indent="3"/>
    </xf>
    <xf numFmtId="0" fontId="3" fillId="0" borderId="0" xfId="2" applyFont="1" applyFill="1" applyAlignment="1">
      <alignment vertical="top"/>
    </xf>
    <xf numFmtId="0" fontId="3" fillId="0" borderId="0" xfId="2" applyFont="1" applyFill="1" applyAlignment="1">
      <alignment horizontal="left" vertical="center" indent="5"/>
    </xf>
    <xf numFmtId="0" fontId="3" fillId="0" borderId="0" xfId="2" applyFont="1" applyFill="1" applyAlignment="1">
      <alignment horizontal="left" vertical="center"/>
    </xf>
    <xf numFmtId="0" fontId="3" fillId="0" borderId="0" xfId="2" applyFont="1" applyFill="1" applyAlignment="1">
      <alignment horizontal="left" vertical="top" indent="5"/>
    </xf>
    <xf numFmtId="0" fontId="3" fillId="0" borderId="0" xfId="0" applyFont="1" applyFill="1" applyAlignment="1">
      <alignment horizontal="left" vertical="center" indent="5"/>
    </xf>
    <xf numFmtId="0" fontId="3" fillId="0" borderId="0" xfId="0" applyFont="1" applyFill="1" applyAlignment="1">
      <alignment horizontal="left" vertical="center"/>
    </xf>
    <xf numFmtId="0" fontId="3" fillId="0" borderId="0" xfId="2" applyFont="1" applyFill="1" applyAlignment="1">
      <alignment horizontal="left" vertical="center" indent="5"/>
    </xf>
    <xf numFmtId="0" fontId="22" fillId="0" borderId="0" xfId="2" applyFont="1" applyFill="1" applyAlignment="1">
      <alignment horizontal="left" vertical="top" wrapText="1"/>
    </xf>
    <xf numFmtId="0" fontId="22" fillId="0" borderId="0" xfId="2" applyFont="1" applyFill="1" applyAlignment="1">
      <alignment horizontal="left" vertical="top" wrapText="1" indent="1"/>
    </xf>
    <xf numFmtId="2" fontId="22" fillId="0" borderId="0" xfId="2" applyNumberFormat="1" applyFont="1" applyFill="1" applyAlignment="1">
      <alignment horizontal="left" vertical="top" wrapText="1" indent="1"/>
    </xf>
    <xf numFmtId="0" fontId="26" fillId="0" borderId="0" xfId="2" applyFont="1" applyFill="1" applyAlignment="1">
      <alignment horizontal="center"/>
    </xf>
    <xf numFmtId="0" fontId="3" fillId="0" borderId="28" xfId="0" applyFont="1" applyFill="1" applyBorder="1" applyAlignment="1">
      <alignment horizontal="center"/>
    </xf>
    <xf numFmtId="0" fontId="3" fillId="0" borderId="30" xfId="0" applyFont="1" applyFill="1" applyBorder="1" applyAlignment="1">
      <alignment horizontal="center" vertical="center"/>
    </xf>
    <xf numFmtId="0" fontId="3" fillId="0" borderId="67" xfId="0" applyFont="1" applyFill="1" applyBorder="1" applyAlignment="1">
      <alignment horizontal="center" vertical="center"/>
    </xf>
    <xf numFmtId="0" fontId="22" fillId="0" borderId="0" xfId="2" applyFont="1" applyAlignment="1">
      <alignment horizontal="left" vertical="top" wrapText="1" indent="1"/>
    </xf>
  </cellXfs>
  <cellStyles count="3">
    <cellStyle name="Hiperligação" xfId="1" builtinId="8"/>
    <cellStyle name="Normal" xfId="0" builtinId="0"/>
    <cellStyle name="Normal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1</xdr:row>
      <xdr:rowOff>0</xdr:rowOff>
    </xdr:from>
    <xdr:to>
      <xdr:col>1</xdr:col>
      <xdr:colOff>114300</xdr:colOff>
      <xdr:row>2</xdr:row>
      <xdr:rowOff>133350</xdr:rowOff>
    </xdr:to>
    <xdr:pic>
      <xdr:nvPicPr>
        <xdr:cNvPr id="5166" name="Picture 9" descr="DGGE-SoSimbolo">
          <a:extLst>
            <a:ext uri="{FF2B5EF4-FFF2-40B4-BE49-F238E27FC236}">
              <a16:creationId xmlns:a16="http://schemas.microsoft.com/office/drawing/2014/main" id="{00000000-0008-0000-0000-00002E1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161925"/>
          <a:ext cx="333375" cy="3333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1</xdr:row>
      <xdr:rowOff>0</xdr:rowOff>
    </xdr:from>
    <xdr:to>
      <xdr:col>0</xdr:col>
      <xdr:colOff>419100</xdr:colOff>
      <xdr:row>2</xdr:row>
      <xdr:rowOff>152400</xdr:rowOff>
    </xdr:to>
    <xdr:pic>
      <xdr:nvPicPr>
        <xdr:cNvPr id="1278" name="Picture 9" descr="DGGE-SoSimbolo">
          <a:extLst>
            <a:ext uri="{FF2B5EF4-FFF2-40B4-BE49-F238E27FC236}">
              <a16:creationId xmlns:a16="http://schemas.microsoft.com/office/drawing/2014/main" id="{00000000-0008-0000-0100-0000FE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71475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47625</xdr:colOff>
      <xdr:row>0</xdr:row>
      <xdr:rowOff>161925</xdr:rowOff>
    </xdr:from>
    <xdr:to>
      <xdr:col>0</xdr:col>
      <xdr:colOff>409575</xdr:colOff>
      <xdr:row>3</xdr:row>
      <xdr:rowOff>0</xdr:rowOff>
    </xdr:to>
    <xdr:pic>
      <xdr:nvPicPr>
        <xdr:cNvPr id="2128" name="Picture 9" descr="DGGE-SoSimbolo">
          <a:extLst>
            <a:ext uri="{FF2B5EF4-FFF2-40B4-BE49-F238E27FC236}">
              <a16:creationId xmlns:a16="http://schemas.microsoft.com/office/drawing/2014/main" id="{00000000-0008-0000-0200-000050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625" y="161925"/>
          <a:ext cx="361950" cy="3619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30"/>
  <sheetViews>
    <sheetView showGridLines="0" tabSelected="1" zoomScale="115" zoomScaleNormal="115" workbookViewId="0"/>
  </sheetViews>
  <sheetFormatPr defaultColWidth="0" defaultRowHeight="0" customHeight="1" zeroHeight="1" x14ac:dyDescent="0.2"/>
  <cols>
    <col min="1" max="1" width="4.28515625" style="288" customWidth="1"/>
    <col min="2" max="2" width="18.28515625" style="288" customWidth="1"/>
    <col min="3" max="3" width="68.7109375" style="288" customWidth="1"/>
    <col min="4" max="4" width="14.7109375" style="290" customWidth="1"/>
    <col min="5" max="7" width="9.140625" style="290" hidden="1" customWidth="1"/>
    <col min="8" max="16384" width="0" style="288" hidden="1"/>
  </cols>
  <sheetData>
    <row r="1" spans="1:7" ht="12.75" x14ac:dyDescent="0.2">
      <c r="B1" s="289"/>
    </row>
    <row r="2" spans="1:7" ht="15.75" x14ac:dyDescent="0.25">
      <c r="B2" s="291" t="s">
        <v>119</v>
      </c>
      <c r="D2" s="294" t="s">
        <v>270</v>
      </c>
    </row>
    <row r="3" spans="1:7" ht="12.75" x14ac:dyDescent="0.2">
      <c r="B3" s="292" t="s">
        <v>133</v>
      </c>
      <c r="D3" s="294" t="s">
        <v>271</v>
      </c>
    </row>
    <row r="4" spans="1:7" ht="12.75" x14ac:dyDescent="0.2">
      <c r="B4" s="293"/>
      <c r="F4" s="294"/>
    </row>
    <row r="5" spans="1:7" ht="12.75" x14ac:dyDescent="0.2">
      <c r="B5" s="293"/>
      <c r="F5" s="294"/>
    </row>
    <row r="6" spans="1:7" ht="18" x14ac:dyDescent="0.25">
      <c r="B6" s="355" t="s">
        <v>284</v>
      </c>
      <c r="C6" s="355"/>
      <c r="F6" s="294"/>
    </row>
    <row r="7" spans="1:7" ht="18" x14ac:dyDescent="0.25">
      <c r="B7" s="355">
        <v>2014</v>
      </c>
      <c r="C7" s="355"/>
      <c r="F7" s="294"/>
    </row>
    <row r="8" spans="1:7" ht="12.75" x14ac:dyDescent="0.2">
      <c r="B8" s="293"/>
      <c r="F8" s="294"/>
    </row>
    <row r="9" spans="1:7" ht="15.75" x14ac:dyDescent="0.2">
      <c r="A9" s="295" t="s">
        <v>306</v>
      </c>
      <c r="B9" s="296"/>
      <c r="C9" s="296"/>
      <c r="D9" s="288"/>
      <c r="E9" s="288"/>
      <c r="F9" s="288"/>
      <c r="G9" s="288"/>
    </row>
    <row r="10" spans="1:7" ht="12.75" x14ac:dyDescent="0.2">
      <c r="D10" s="288"/>
      <c r="E10" s="288"/>
      <c r="F10" s="288"/>
      <c r="G10" s="288"/>
    </row>
    <row r="11" spans="1:7" ht="51" customHeight="1" x14ac:dyDescent="0.2">
      <c r="A11" s="359" t="s">
        <v>330</v>
      </c>
      <c r="B11" s="359"/>
      <c r="C11" s="359"/>
      <c r="D11" s="288"/>
      <c r="E11" s="288"/>
      <c r="F11" s="288"/>
      <c r="G11" s="288"/>
    </row>
    <row r="12" spans="1:7" ht="12.75" customHeight="1" x14ac:dyDescent="0.2">
      <c r="B12" s="293"/>
      <c r="D12" s="288"/>
      <c r="E12" s="288"/>
      <c r="F12" s="288"/>
      <c r="G12" s="288"/>
    </row>
    <row r="13" spans="1:7" ht="15.75" x14ac:dyDescent="0.2">
      <c r="A13" s="295" t="s">
        <v>251</v>
      </c>
      <c r="B13" s="296"/>
      <c r="C13" s="296"/>
      <c r="D13" s="288"/>
      <c r="E13" s="288"/>
      <c r="F13" s="288"/>
      <c r="G13" s="288"/>
    </row>
    <row r="14" spans="1:7" ht="9.75" customHeight="1" x14ac:dyDescent="0.2">
      <c r="D14" s="288"/>
      <c r="E14" s="288"/>
      <c r="F14" s="288"/>
      <c r="G14" s="288"/>
    </row>
    <row r="15" spans="1:7" ht="56.25" customHeight="1" x14ac:dyDescent="0.2">
      <c r="A15" s="353" t="s">
        <v>307</v>
      </c>
      <c r="B15" s="353"/>
      <c r="C15" s="353"/>
      <c r="D15" s="288"/>
      <c r="E15" s="288"/>
      <c r="F15" s="288"/>
      <c r="G15" s="288"/>
    </row>
    <row r="16" spans="1:7" ht="18" customHeight="1" x14ac:dyDescent="0.2">
      <c r="A16" s="297" t="s">
        <v>103</v>
      </c>
      <c r="B16" s="288" t="s">
        <v>257</v>
      </c>
      <c r="C16" s="298"/>
      <c r="D16" s="288"/>
      <c r="E16" s="288"/>
      <c r="F16" s="288"/>
      <c r="G16" s="288"/>
    </row>
    <row r="17" spans="1:7" ht="29.25" customHeight="1" x14ac:dyDescent="0.2">
      <c r="A17" s="297" t="s">
        <v>103</v>
      </c>
      <c r="B17" s="352" t="s">
        <v>260</v>
      </c>
      <c r="C17" s="352"/>
      <c r="D17" s="288"/>
      <c r="E17" s="288"/>
      <c r="F17" s="288"/>
      <c r="G17" s="288"/>
    </row>
    <row r="18" spans="1:7" ht="37.5" customHeight="1" x14ac:dyDescent="0.2">
      <c r="A18" s="297" t="s">
        <v>103</v>
      </c>
      <c r="B18" s="352" t="s">
        <v>258</v>
      </c>
      <c r="C18" s="352"/>
      <c r="D18" s="288"/>
      <c r="E18" s="288"/>
      <c r="F18" s="288"/>
      <c r="G18" s="288"/>
    </row>
    <row r="19" spans="1:7" ht="20.25" customHeight="1" x14ac:dyDescent="0.2">
      <c r="A19" s="353" t="s">
        <v>290</v>
      </c>
      <c r="B19" s="353"/>
      <c r="C19" s="353"/>
      <c r="D19" s="288"/>
      <c r="E19" s="288"/>
      <c r="F19" s="288"/>
      <c r="G19" s="288"/>
    </row>
    <row r="20" spans="1:7" ht="29.25" customHeight="1" x14ac:dyDescent="0.2">
      <c r="A20" s="354" t="s">
        <v>308</v>
      </c>
      <c r="B20" s="354"/>
      <c r="C20" s="354"/>
      <c r="D20" s="288"/>
      <c r="E20" s="288"/>
      <c r="F20" s="288"/>
      <c r="G20" s="288"/>
    </row>
    <row r="21" spans="1:7" ht="15.75" customHeight="1" x14ac:dyDescent="0.2">
      <c r="A21" s="299" t="s">
        <v>309</v>
      </c>
      <c r="D21" s="288"/>
      <c r="E21" s="288"/>
      <c r="F21" s="288"/>
      <c r="G21" s="288"/>
    </row>
    <row r="22" spans="1:7" ht="18.75" customHeight="1" x14ac:dyDescent="0.2">
      <c r="A22" s="297" t="s">
        <v>103</v>
      </c>
      <c r="B22" s="288" t="s">
        <v>272</v>
      </c>
      <c r="D22" s="288"/>
      <c r="E22" s="288"/>
      <c r="F22" s="288"/>
      <c r="G22" s="288"/>
    </row>
    <row r="23" spans="1:7" ht="18.75" customHeight="1" x14ac:dyDescent="0.2">
      <c r="A23" s="297" t="s">
        <v>103</v>
      </c>
      <c r="B23" s="288" t="s">
        <v>273</v>
      </c>
      <c r="D23" s="288"/>
      <c r="E23" s="288"/>
      <c r="F23" s="288"/>
      <c r="G23" s="288"/>
    </row>
    <row r="24" spans="1:7" ht="18.75" customHeight="1" x14ac:dyDescent="0.2">
      <c r="A24" s="297" t="s">
        <v>103</v>
      </c>
      <c r="B24" s="288" t="s">
        <v>136</v>
      </c>
      <c r="D24" s="288"/>
      <c r="E24" s="288"/>
      <c r="F24" s="288"/>
      <c r="G24" s="288"/>
    </row>
    <row r="25" spans="1:7" ht="18.75" customHeight="1" x14ac:dyDescent="0.2">
      <c r="A25" s="297" t="s">
        <v>103</v>
      </c>
      <c r="B25" s="288" t="s">
        <v>274</v>
      </c>
      <c r="D25" s="288"/>
      <c r="E25" s="288"/>
      <c r="F25" s="288"/>
      <c r="G25" s="288"/>
    </row>
    <row r="26" spans="1:7" ht="18.75" customHeight="1" x14ac:dyDescent="0.2">
      <c r="A26" s="297" t="s">
        <v>103</v>
      </c>
      <c r="B26" s="288" t="s">
        <v>275</v>
      </c>
      <c r="D26" s="288"/>
      <c r="E26" s="288"/>
      <c r="F26" s="288"/>
      <c r="G26" s="288"/>
    </row>
    <row r="27" spans="1:7" ht="5.25" customHeight="1" x14ac:dyDescent="0.2">
      <c r="A27" s="300"/>
      <c r="D27" s="288"/>
      <c r="E27" s="288"/>
      <c r="F27" s="288"/>
      <c r="G27" s="288"/>
    </row>
    <row r="28" spans="1:7" ht="15.75" customHeight="1" x14ac:dyDescent="0.2">
      <c r="A28" s="299" t="s">
        <v>291</v>
      </c>
      <c r="D28" s="288"/>
      <c r="E28" s="288"/>
      <c r="F28" s="288"/>
      <c r="G28" s="288"/>
    </row>
    <row r="29" spans="1:7" ht="30" customHeight="1" x14ac:dyDescent="0.2">
      <c r="A29" s="297" t="s">
        <v>103</v>
      </c>
      <c r="B29" s="352" t="s">
        <v>295</v>
      </c>
      <c r="C29" s="352"/>
      <c r="D29" s="288"/>
      <c r="E29" s="288"/>
      <c r="F29" s="288"/>
      <c r="G29" s="288"/>
    </row>
    <row r="30" spans="1:7" ht="22.5" customHeight="1" x14ac:dyDescent="0.2">
      <c r="A30" s="297" t="s">
        <v>103</v>
      </c>
      <c r="B30" s="352" t="s">
        <v>296</v>
      </c>
      <c r="C30" s="352"/>
      <c r="D30" s="288"/>
      <c r="E30" s="288"/>
      <c r="F30" s="288"/>
      <c r="G30" s="288"/>
    </row>
    <row r="31" spans="1:7" ht="30" customHeight="1" x14ac:dyDescent="0.2">
      <c r="A31" s="297" t="s">
        <v>103</v>
      </c>
      <c r="B31" s="352" t="s">
        <v>301</v>
      </c>
      <c r="C31" s="352"/>
      <c r="D31" s="288"/>
      <c r="E31" s="288"/>
      <c r="F31" s="288"/>
      <c r="G31" s="288"/>
    </row>
    <row r="32" spans="1:7" ht="32.25" customHeight="1" x14ac:dyDescent="0.2">
      <c r="A32" s="297" t="s">
        <v>103</v>
      </c>
      <c r="B32" s="352" t="s">
        <v>297</v>
      </c>
      <c r="C32" s="352"/>
      <c r="D32" s="288"/>
      <c r="E32" s="288"/>
      <c r="F32" s="288"/>
      <c r="G32" s="288"/>
    </row>
    <row r="33" spans="1:7" ht="32.25" customHeight="1" x14ac:dyDescent="0.2">
      <c r="A33" s="297" t="s">
        <v>103</v>
      </c>
      <c r="B33" s="352" t="s">
        <v>310</v>
      </c>
      <c r="C33" s="352"/>
      <c r="D33" s="288"/>
      <c r="E33" s="288"/>
      <c r="F33" s="288"/>
      <c r="G33" s="288"/>
    </row>
    <row r="34" spans="1:7" ht="29.25" customHeight="1" x14ac:dyDescent="0.2">
      <c r="A34" s="297" t="s">
        <v>103</v>
      </c>
      <c r="B34" s="352" t="s">
        <v>298</v>
      </c>
      <c r="C34" s="352"/>
      <c r="D34" s="288"/>
      <c r="E34" s="288"/>
      <c r="F34" s="288"/>
      <c r="G34" s="288"/>
    </row>
    <row r="35" spans="1:7" ht="45.75" customHeight="1" x14ac:dyDescent="0.2">
      <c r="A35" s="297" t="s">
        <v>103</v>
      </c>
      <c r="B35" s="352" t="s">
        <v>311</v>
      </c>
      <c r="C35" s="352"/>
      <c r="D35" s="288"/>
      <c r="E35" s="288"/>
      <c r="F35" s="288"/>
      <c r="G35" s="288"/>
    </row>
    <row r="36" spans="1:7" ht="21" customHeight="1" x14ac:dyDescent="0.2">
      <c r="A36" s="297" t="s">
        <v>103</v>
      </c>
      <c r="B36" s="352" t="s">
        <v>299</v>
      </c>
      <c r="C36" s="352"/>
      <c r="D36" s="288"/>
      <c r="E36" s="288"/>
      <c r="F36" s="288"/>
      <c r="G36" s="288"/>
    </row>
    <row r="37" spans="1:7" ht="12.75" x14ac:dyDescent="0.2">
      <c r="A37" s="297" t="s">
        <v>103</v>
      </c>
      <c r="B37" s="352" t="s">
        <v>312</v>
      </c>
      <c r="C37" s="352"/>
      <c r="D37" s="288"/>
      <c r="E37" s="288"/>
      <c r="F37" s="288"/>
      <c r="G37" s="288"/>
    </row>
    <row r="38" spans="1:7" ht="10.5" customHeight="1" x14ac:dyDescent="0.2">
      <c r="A38" s="297"/>
      <c r="B38" s="324"/>
      <c r="C38" s="324"/>
      <c r="D38" s="288"/>
      <c r="E38" s="288"/>
      <c r="F38" s="288"/>
      <c r="G38" s="288"/>
    </row>
    <row r="39" spans="1:7" ht="32.25" customHeight="1" x14ac:dyDescent="0.2">
      <c r="A39" s="353" t="s">
        <v>300</v>
      </c>
      <c r="B39" s="353"/>
      <c r="C39" s="353"/>
      <c r="D39" s="288"/>
      <c r="E39" s="288"/>
      <c r="F39" s="288"/>
      <c r="G39" s="288"/>
    </row>
    <row r="40" spans="1:7" ht="21" customHeight="1" x14ac:dyDescent="0.2">
      <c r="A40" s="353" t="s">
        <v>286</v>
      </c>
      <c r="B40" s="353"/>
      <c r="C40" s="353"/>
      <c r="D40" s="288"/>
      <c r="E40" s="288"/>
      <c r="F40" s="288"/>
      <c r="G40" s="288"/>
    </row>
    <row r="41" spans="1:7" ht="28.5" customHeight="1" x14ac:dyDescent="0.2">
      <c r="A41" s="353" t="s">
        <v>197</v>
      </c>
      <c r="B41" s="353"/>
      <c r="C41" s="353"/>
      <c r="D41" s="288"/>
      <c r="E41" s="288"/>
      <c r="F41" s="288"/>
      <c r="G41" s="288"/>
    </row>
    <row r="42" spans="1:7" ht="17.25" customHeight="1" x14ac:dyDescent="0.2">
      <c r="A42" s="297" t="s">
        <v>103</v>
      </c>
      <c r="B42" s="352" t="s">
        <v>151</v>
      </c>
      <c r="C42" s="352"/>
      <c r="D42" s="288"/>
      <c r="E42" s="288"/>
      <c r="F42" s="288"/>
      <c r="G42" s="288"/>
    </row>
    <row r="43" spans="1:7" ht="17.25" customHeight="1" x14ac:dyDescent="0.2">
      <c r="A43" s="297" t="s">
        <v>103</v>
      </c>
      <c r="B43" s="352" t="s">
        <v>198</v>
      </c>
      <c r="C43" s="352"/>
      <c r="D43" s="288"/>
      <c r="E43" s="288"/>
      <c r="F43" s="288"/>
      <c r="G43" s="288"/>
    </row>
    <row r="44" spans="1:7" ht="26.25" customHeight="1" x14ac:dyDescent="0.2">
      <c r="A44" s="297" t="s">
        <v>103</v>
      </c>
      <c r="B44" s="352" t="s">
        <v>259</v>
      </c>
      <c r="C44" s="352"/>
      <c r="D44" s="288"/>
      <c r="E44" s="288"/>
      <c r="F44" s="288"/>
      <c r="G44" s="288"/>
    </row>
    <row r="45" spans="1:7" ht="9.75" customHeight="1" x14ac:dyDescent="0.2">
      <c r="A45" s="297"/>
      <c r="B45" s="324"/>
      <c r="C45" s="324"/>
      <c r="D45" s="288"/>
      <c r="E45" s="288"/>
      <c r="F45" s="288"/>
      <c r="G45" s="288"/>
    </row>
    <row r="46" spans="1:7" ht="12.75" x14ac:dyDescent="0.2">
      <c r="A46" s="353" t="s">
        <v>313</v>
      </c>
      <c r="B46" s="353"/>
      <c r="C46" s="353"/>
      <c r="D46" s="288"/>
      <c r="E46" s="288"/>
      <c r="F46" s="288"/>
      <c r="G46" s="288"/>
    </row>
    <row r="47" spans="1:7" ht="12.75" x14ac:dyDescent="0.2">
      <c r="A47" s="353"/>
      <c r="B47" s="353"/>
      <c r="C47" s="353"/>
      <c r="D47" s="288"/>
      <c r="E47" s="288"/>
      <c r="F47" s="288"/>
      <c r="G47" s="288"/>
    </row>
    <row r="48" spans="1:7" ht="15.75" x14ac:dyDescent="0.2">
      <c r="A48" s="295" t="s">
        <v>152</v>
      </c>
      <c r="B48" s="296"/>
      <c r="C48" s="296"/>
      <c r="D48" s="288"/>
      <c r="E48" s="288"/>
      <c r="F48" s="288"/>
      <c r="G48" s="288"/>
    </row>
    <row r="49" spans="2:7" ht="12.75" x14ac:dyDescent="0.2">
      <c r="D49" s="288"/>
      <c r="E49" s="288"/>
      <c r="F49" s="288"/>
      <c r="G49" s="288"/>
    </row>
    <row r="50" spans="2:7" ht="25.5" x14ac:dyDescent="0.2">
      <c r="B50" s="324" t="s">
        <v>153</v>
      </c>
      <c r="C50" s="324" t="s">
        <v>160</v>
      </c>
      <c r="D50" s="288"/>
      <c r="E50" s="288"/>
      <c r="F50" s="288"/>
      <c r="G50" s="288"/>
    </row>
    <row r="51" spans="2:7" ht="25.5" x14ac:dyDescent="0.2">
      <c r="B51" s="324" t="s">
        <v>154</v>
      </c>
      <c r="C51" s="324" t="s">
        <v>161</v>
      </c>
      <c r="D51" s="288"/>
      <c r="E51" s="288"/>
      <c r="F51" s="288"/>
      <c r="G51" s="288"/>
    </row>
    <row r="52" spans="2:7" ht="25.5" x14ac:dyDescent="0.2">
      <c r="B52" s="324" t="s">
        <v>158</v>
      </c>
      <c r="C52" s="324" t="s">
        <v>162</v>
      </c>
      <c r="D52" s="288"/>
      <c r="E52" s="288"/>
      <c r="F52" s="288"/>
      <c r="G52" s="288"/>
    </row>
    <row r="53" spans="2:7" ht="38.25" x14ac:dyDescent="0.2">
      <c r="B53" s="324" t="s">
        <v>155</v>
      </c>
      <c r="C53" s="324" t="s">
        <v>254</v>
      </c>
      <c r="D53" s="288"/>
      <c r="E53" s="288"/>
      <c r="F53" s="288"/>
      <c r="G53" s="288"/>
    </row>
    <row r="54" spans="2:7" ht="25.5" x14ac:dyDescent="0.2">
      <c r="B54" s="324" t="s">
        <v>32</v>
      </c>
      <c r="C54" s="324" t="s">
        <v>163</v>
      </c>
      <c r="D54" s="288"/>
      <c r="E54" s="288"/>
      <c r="F54" s="288"/>
      <c r="G54" s="288"/>
    </row>
    <row r="55" spans="2:7" ht="63.75" x14ac:dyDescent="0.2">
      <c r="B55" s="324" t="s">
        <v>164</v>
      </c>
      <c r="C55" s="324" t="s">
        <v>314</v>
      </c>
      <c r="D55" s="288"/>
      <c r="E55" s="288"/>
      <c r="F55" s="288"/>
      <c r="G55" s="288"/>
    </row>
    <row r="56" spans="2:7" ht="38.25" x14ac:dyDescent="0.2">
      <c r="B56" s="324" t="s">
        <v>35</v>
      </c>
      <c r="C56" s="324" t="s">
        <v>315</v>
      </c>
      <c r="D56" s="288"/>
      <c r="E56" s="288"/>
      <c r="F56" s="288"/>
      <c r="G56" s="288"/>
    </row>
    <row r="57" spans="2:7" ht="12.75" x14ac:dyDescent="0.2">
      <c r="B57" s="324"/>
      <c r="C57" s="324"/>
      <c r="D57" s="288"/>
      <c r="E57" s="288"/>
      <c r="F57" s="288"/>
      <c r="G57" s="288"/>
    </row>
    <row r="58" spans="2:7" ht="51" x14ac:dyDescent="0.2">
      <c r="B58" s="324" t="s">
        <v>159</v>
      </c>
      <c r="C58" s="324" t="s">
        <v>165</v>
      </c>
      <c r="D58" s="288"/>
      <c r="E58" s="288"/>
      <c r="F58" s="288"/>
      <c r="G58" s="288"/>
    </row>
    <row r="59" spans="2:7" ht="35.25" customHeight="1" x14ac:dyDescent="0.2">
      <c r="B59" s="324" t="s">
        <v>269</v>
      </c>
      <c r="C59" s="324" t="s">
        <v>268</v>
      </c>
      <c r="D59" s="288"/>
      <c r="E59" s="288"/>
      <c r="F59" s="288"/>
      <c r="G59" s="288"/>
    </row>
    <row r="60" spans="2:7" ht="25.5" x14ac:dyDescent="0.2">
      <c r="B60" s="324" t="s">
        <v>42</v>
      </c>
      <c r="C60" s="324" t="s">
        <v>166</v>
      </c>
      <c r="D60" s="288"/>
      <c r="E60" s="288"/>
      <c r="F60" s="288"/>
      <c r="G60" s="288"/>
    </row>
    <row r="61" spans="2:7" ht="25.5" x14ac:dyDescent="0.2">
      <c r="B61" s="324" t="s">
        <v>45</v>
      </c>
      <c r="C61" s="324" t="s">
        <v>167</v>
      </c>
      <c r="D61" s="288"/>
      <c r="E61" s="288"/>
      <c r="F61" s="288"/>
      <c r="G61" s="288"/>
    </row>
    <row r="62" spans="2:7" ht="25.5" x14ac:dyDescent="0.2">
      <c r="B62" s="324" t="s">
        <v>124</v>
      </c>
      <c r="C62" s="324" t="s">
        <v>168</v>
      </c>
      <c r="D62" s="288"/>
      <c r="E62" s="288"/>
      <c r="F62" s="288"/>
      <c r="G62" s="288"/>
    </row>
    <row r="63" spans="2:7" ht="38.25" x14ac:dyDescent="0.2">
      <c r="B63" s="324" t="s">
        <v>48</v>
      </c>
      <c r="C63" s="324" t="s">
        <v>255</v>
      </c>
      <c r="D63" s="288"/>
      <c r="E63" s="288"/>
      <c r="F63" s="288"/>
      <c r="G63" s="288"/>
    </row>
    <row r="64" spans="2:7" ht="51" x14ac:dyDescent="0.2">
      <c r="B64" s="324" t="s">
        <v>256</v>
      </c>
      <c r="C64" s="324" t="s">
        <v>169</v>
      </c>
      <c r="D64" s="288"/>
      <c r="E64" s="288"/>
      <c r="F64" s="288"/>
      <c r="G64" s="288"/>
    </row>
    <row r="65" spans="1:7" ht="38.25" x14ac:dyDescent="0.2">
      <c r="B65" s="324" t="s">
        <v>276</v>
      </c>
      <c r="C65" s="324" t="s">
        <v>170</v>
      </c>
      <c r="D65" s="288"/>
      <c r="E65" s="288"/>
      <c r="F65" s="288"/>
      <c r="G65" s="288"/>
    </row>
    <row r="66" spans="1:7" ht="25.5" x14ac:dyDescent="0.2">
      <c r="B66" s="324" t="s">
        <v>156</v>
      </c>
      <c r="C66" s="324" t="s">
        <v>171</v>
      </c>
      <c r="D66" s="288"/>
      <c r="E66" s="288"/>
      <c r="F66" s="288"/>
      <c r="G66" s="288"/>
    </row>
    <row r="67" spans="1:7" ht="38.25" x14ac:dyDescent="0.2">
      <c r="B67" s="324" t="s">
        <v>157</v>
      </c>
      <c r="C67" s="324" t="s">
        <v>172</v>
      </c>
      <c r="D67" s="288"/>
      <c r="E67" s="288"/>
      <c r="F67" s="288"/>
      <c r="G67" s="288"/>
    </row>
    <row r="68" spans="1:7" ht="6.75" customHeight="1" x14ac:dyDescent="0.2">
      <c r="B68" s="324"/>
      <c r="C68" s="324"/>
      <c r="D68" s="288"/>
      <c r="E68" s="288"/>
      <c r="F68" s="288"/>
      <c r="G68" s="288"/>
    </row>
    <row r="69" spans="1:7" ht="12.75" x14ac:dyDescent="0.2">
      <c r="A69" s="301" t="s">
        <v>173</v>
      </c>
      <c r="B69" s="296"/>
      <c r="C69" s="296"/>
      <c r="D69" s="288"/>
      <c r="E69" s="288"/>
      <c r="F69" s="288"/>
      <c r="G69" s="288"/>
    </row>
    <row r="70" spans="1:7" ht="5.25" customHeight="1" x14ac:dyDescent="0.2">
      <c r="D70" s="288"/>
      <c r="E70" s="288"/>
      <c r="F70" s="288"/>
      <c r="G70" s="288"/>
    </row>
    <row r="71" spans="1:7" ht="21.75" customHeight="1" x14ac:dyDescent="0.2">
      <c r="B71" s="324" t="s">
        <v>174</v>
      </c>
      <c r="C71" s="298" t="s">
        <v>176</v>
      </c>
      <c r="D71" s="288"/>
      <c r="E71" s="288"/>
      <c r="F71" s="288"/>
      <c r="G71" s="288"/>
    </row>
    <row r="72" spans="1:7" ht="59.25" customHeight="1" x14ac:dyDescent="0.2">
      <c r="B72" s="324" t="s">
        <v>252</v>
      </c>
      <c r="C72" s="298" t="s">
        <v>316</v>
      </c>
      <c r="D72" s="288"/>
      <c r="E72" s="288"/>
      <c r="F72" s="288"/>
      <c r="G72" s="288"/>
    </row>
    <row r="73" spans="1:7" ht="33.75" customHeight="1" x14ac:dyDescent="0.2">
      <c r="B73" s="324" t="s">
        <v>277</v>
      </c>
      <c r="C73" s="298" t="s">
        <v>253</v>
      </c>
      <c r="D73" s="288"/>
      <c r="E73" s="288"/>
      <c r="F73" s="288"/>
      <c r="G73" s="288"/>
    </row>
    <row r="74" spans="1:7" ht="38.25" x14ac:dyDescent="0.2">
      <c r="B74" s="324" t="s">
        <v>19</v>
      </c>
      <c r="C74" s="298" t="s">
        <v>177</v>
      </c>
      <c r="D74" s="288"/>
      <c r="E74" s="288"/>
      <c r="F74" s="288"/>
      <c r="G74" s="288"/>
    </row>
    <row r="75" spans="1:7" ht="74.25" customHeight="1" x14ac:dyDescent="0.2">
      <c r="B75" s="324" t="s">
        <v>175</v>
      </c>
      <c r="C75" s="298" t="s">
        <v>317</v>
      </c>
      <c r="D75" s="288"/>
      <c r="E75" s="288"/>
      <c r="F75" s="288"/>
      <c r="G75" s="288"/>
    </row>
    <row r="76" spans="1:7" ht="25.5" x14ac:dyDescent="0.2">
      <c r="B76" s="324" t="s">
        <v>22</v>
      </c>
      <c r="C76" s="298" t="s">
        <v>178</v>
      </c>
      <c r="D76" s="288"/>
      <c r="E76" s="288"/>
      <c r="F76" s="288"/>
      <c r="G76" s="288"/>
    </row>
    <row r="77" spans="1:7" ht="38.25" x14ac:dyDescent="0.2">
      <c r="B77" s="324" t="s">
        <v>280</v>
      </c>
      <c r="C77" s="298" t="s">
        <v>318</v>
      </c>
      <c r="D77" s="288"/>
      <c r="E77" s="288"/>
      <c r="F77" s="288"/>
      <c r="G77" s="288"/>
    </row>
    <row r="78" spans="1:7" ht="30.75" customHeight="1" x14ac:dyDescent="0.2">
      <c r="B78" s="324" t="s">
        <v>278</v>
      </c>
      <c r="C78" s="298" t="s">
        <v>279</v>
      </c>
      <c r="D78" s="288"/>
      <c r="E78" s="288"/>
      <c r="F78" s="288"/>
      <c r="G78" s="288"/>
    </row>
    <row r="79" spans="1:7" ht="30.75" customHeight="1" x14ac:dyDescent="0.2">
      <c r="B79" s="324" t="s">
        <v>302</v>
      </c>
      <c r="C79" s="298" t="s">
        <v>319</v>
      </c>
      <c r="D79" s="288"/>
      <c r="E79" s="288"/>
      <c r="F79" s="288"/>
      <c r="G79" s="288"/>
    </row>
    <row r="80" spans="1:7" ht="30.75" customHeight="1" x14ac:dyDescent="0.2">
      <c r="B80" s="324" t="s">
        <v>104</v>
      </c>
      <c r="C80" s="298" t="s">
        <v>179</v>
      </c>
      <c r="D80" s="288"/>
      <c r="E80" s="288"/>
      <c r="F80" s="288"/>
      <c r="G80" s="288"/>
    </row>
    <row r="81" spans="1:7" ht="55.5" customHeight="1" x14ac:dyDescent="0.2">
      <c r="B81" s="324" t="s">
        <v>320</v>
      </c>
      <c r="C81" s="298" t="s">
        <v>321</v>
      </c>
      <c r="D81" s="288"/>
      <c r="E81" s="288"/>
      <c r="F81" s="288"/>
      <c r="G81" s="288"/>
    </row>
    <row r="82" spans="1:7" ht="5.25" customHeight="1" x14ac:dyDescent="0.2">
      <c r="B82" s="302"/>
      <c r="C82" s="298"/>
      <c r="D82" s="288"/>
      <c r="E82" s="288"/>
      <c r="F82" s="288"/>
      <c r="G82" s="288"/>
    </row>
    <row r="83" spans="1:7" ht="15.75" x14ac:dyDescent="0.2">
      <c r="A83" s="295" t="s">
        <v>183</v>
      </c>
      <c r="B83" s="296"/>
      <c r="C83" s="296"/>
      <c r="D83" s="288"/>
      <c r="E83" s="288"/>
      <c r="F83" s="288"/>
      <c r="G83" s="288"/>
    </row>
    <row r="84" spans="1:7" ht="5.25" customHeight="1" x14ac:dyDescent="0.2">
      <c r="D84" s="288"/>
      <c r="E84" s="288"/>
      <c r="F84" s="288"/>
      <c r="G84" s="288"/>
    </row>
    <row r="85" spans="1:7" ht="13.5" x14ac:dyDescent="0.2">
      <c r="B85" s="344" t="s">
        <v>180</v>
      </c>
      <c r="C85" s="345"/>
      <c r="D85" s="288"/>
      <c r="E85" s="288"/>
      <c r="F85" s="288"/>
      <c r="G85" s="288"/>
    </row>
    <row r="86" spans="1:7" ht="15.75" x14ac:dyDescent="0.2">
      <c r="B86" s="351" t="s">
        <v>322</v>
      </c>
      <c r="C86" s="351"/>
      <c r="D86" s="288"/>
      <c r="E86" s="288"/>
      <c r="F86" s="288"/>
      <c r="G86" s="288"/>
    </row>
    <row r="87" spans="1:7" ht="13.5" x14ac:dyDescent="0.2">
      <c r="B87" s="351" t="s">
        <v>181</v>
      </c>
      <c r="C87" s="351"/>
      <c r="D87" s="288"/>
      <c r="E87" s="288"/>
      <c r="F87" s="288"/>
      <c r="G87" s="288"/>
    </row>
    <row r="88" spans="1:7" ht="15.75" x14ac:dyDescent="0.2">
      <c r="B88" s="346" t="s">
        <v>323</v>
      </c>
      <c r="C88" s="346"/>
      <c r="D88" s="288"/>
      <c r="E88" s="288"/>
      <c r="F88" s="288"/>
      <c r="G88" s="288"/>
    </row>
    <row r="89" spans="1:7" ht="13.5" x14ac:dyDescent="0.2">
      <c r="B89" s="351" t="s">
        <v>182</v>
      </c>
      <c r="C89" s="351"/>
      <c r="D89" s="288"/>
      <c r="E89" s="288"/>
      <c r="F89" s="288"/>
      <c r="G89" s="288"/>
    </row>
    <row r="90" spans="1:7" ht="7.5" customHeight="1" x14ac:dyDescent="0.2">
      <c r="D90" s="288"/>
      <c r="E90" s="288"/>
      <c r="F90" s="288"/>
      <c r="G90" s="288"/>
    </row>
    <row r="91" spans="1:7" ht="15.75" x14ac:dyDescent="0.2">
      <c r="A91" s="295" t="s">
        <v>193</v>
      </c>
      <c r="B91" s="296"/>
      <c r="C91" s="296"/>
      <c r="D91" s="288"/>
      <c r="E91" s="288"/>
      <c r="F91" s="288"/>
      <c r="G91" s="288"/>
    </row>
    <row r="92" spans="1:7" ht="6" customHeight="1" x14ac:dyDescent="0.2">
      <c r="D92" s="288"/>
      <c r="E92" s="288"/>
      <c r="F92" s="288"/>
      <c r="G92" s="288"/>
    </row>
    <row r="93" spans="1:7" ht="13.5" x14ac:dyDescent="0.2">
      <c r="B93" s="348" t="s">
        <v>328</v>
      </c>
      <c r="C93" s="345" t="s">
        <v>329</v>
      </c>
      <c r="D93" s="288"/>
      <c r="E93" s="288"/>
      <c r="F93" s="288"/>
      <c r="G93" s="288"/>
    </row>
    <row r="94" spans="1:7" ht="13.5" x14ac:dyDescent="0.2">
      <c r="B94" s="348" t="s">
        <v>324</v>
      </c>
      <c r="C94" s="345" t="s">
        <v>325</v>
      </c>
      <c r="D94" s="288"/>
      <c r="E94" s="288"/>
      <c r="F94" s="288"/>
      <c r="G94" s="288"/>
    </row>
    <row r="95" spans="1:7" ht="13.5" x14ac:dyDescent="0.2">
      <c r="B95" s="346" t="s">
        <v>184</v>
      </c>
      <c r="C95" s="347" t="s">
        <v>185</v>
      </c>
      <c r="D95" s="288"/>
      <c r="E95" s="288"/>
      <c r="F95" s="288"/>
      <c r="G95" s="288"/>
    </row>
    <row r="96" spans="1:7" ht="13.5" x14ac:dyDescent="0.2">
      <c r="B96" s="348" t="s">
        <v>326</v>
      </c>
      <c r="C96" s="345" t="s">
        <v>327</v>
      </c>
      <c r="D96" s="288"/>
      <c r="E96" s="288"/>
      <c r="F96" s="288"/>
      <c r="G96" s="288"/>
    </row>
    <row r="97" spans="2:7" ht="13.5" x14ac:dyDescent="0.2">
      <c r="B97" s="348" t="s">
        <v>191</v>
      </c>
      <c r="C97" s="345" t="s">
        <v>192</v>
      </c>
      <c r="D97" s="288"/>
      <c r="E97" s="288"/>
      <c r="F97" s="288"/>
      <c r="G97" s="288"/>
    </row>
    <row r="98" spans="2:7" ht="13.5" x14ac:dyDescent="0.2">
      <c r="B98" s="348" t="s">
        <v>285</v>
      </c>
      <c r="C98" s="345" t="s">
        <v>270</v>
      </c>
      <c r="D98" s="288"/>
      <c r="E98" s="288"/>
      <c r="F98" s="288"/>
      <c r="G98" s="288"/>
    </row>
    <row r="99" spans="2:7" ht="13.5" x14ac:dyDescent="0.2">
      <c r="B99" s="346" t="s">
        <v>186</v>
      </c>
      <c r="C99" s="347" t="s">
        <v>187</v>
      </c>
      <c r="D99" s="288"/>
      <c r="E99" s="288"/>
      <c r="F99" s="288"/>
      <c r="G99" s="288"/>
    </row>
    <row r="100" spans="2:7" ht="13.5" x14ac:dyDescent="0.2">
      <c r="B100" s="346" t="s">
        <v>292</v>
      </c>
      <c r="C100" s="347" t="s">
        <v>119</v>
      </c>
      <c r="D100" s="288"/>
      <c r="E100" s="288"/>
      <c r="F100" s="288"/>
      <c r="G100" s="288"/>
    </row>
    <row r="101" spans="2:7" ht="13.5" x14ac:dyDescent="0.2">
      <c r="B101" s="346" t="s">
        <v>293</v>
      </c>
      <c r="C101" s="347" t="s">
        <v>294</v>
      </c>
      <c r="D101" s="288"/>
      <c r="E101" s="288"/>
      <c r="F101" s="288"/>
      <c r="G101" s="288"/>
    </row>
    <row r="102" spans="2:7" ht="13.5" x14ac:dyDescent="0.2">
      <c r="B102" s="348" t="s">
        <v>195</v>
      </c>
      <c r="C102" s="347" t="s">
        <v>196</v>
      </c>
      <c r="D102" s="288"/>
      <c r="E102" s="288"/>
      <c r="F102" s="288"/>
      <c r="G102" s="288"/>
    </row>
    <row r="103" spans="2:7" ht="13.5" x14ac:dyDescent="0.2">
      <c r="B103" s="346" t="s">
        <v>4</v>
      </c>
      <c r="C103" s="347" t="s">
        <v>287</v>
      </c>
      <c r="D103" s="288"/>
      <c r="E103" s="288"/>
      <c r="F103" s="288"/>
      <c r="G103" s="288"/>
    </row>
    <row r="104" spans="2:7" ht="13.5" x14ac:dyDescent="0.2">
      <c r="B104" s="349" t="s">
        <v>282</v>
      </c>
      <c r="C104" s="350" t="s">
        <v>283</v>
      </c>
      <c r="D104" s="288"/>
      <c r="E104" s="288"/>
      <c r="F104" s="288"/>
      <c r="G104" s="288"/>
    </row>
    <row r="105" spans="2:7" ht="13.5" x14ac:dyDescent="0.2">
      <c r="B105" s="348" t="s">
        <v>194</v>
      </c>
      <c r="C105" s="345" t="s">
        <v>281</v>
      </c>
      <c r="D105" s="288"/>
      <c r="E105" s="288"/>
      <c r="F105" s="288"/>
      <c r="G105" s="288"/>
    </row>
    <row r="106" spans="2:7" ht="13.5" x14ac:dyDescent="0.2">
      <c r="B106" s="346" t="s">
        <v>188</v>
      </c>
      <c r="C106" s="347" t="s">
        <v>189</v>
      </c>
      <c r="D106" s="288"/>
      <c r="E106" s="288"/>
      <c r="F106" s="288"/>
      <c r="G106" s="288"/>
    </row>
    <row r="107" spans="2:7" ht="13.5" x14ac:dyDescent="0.2">
      <c r="B107" s="346" t="s">
        <v>288</v>
      </c>
      <c r="C107" s="347" t="s">
        <v>289</v>
      </c>
      <c r="D107" s="288"/>
      <c r="E107" s="288"/>
      <c r="F107" s="288"/>
      <c r="G107" s="288"/>
    </row>
    <row r="108" spans="2:7" ht="13.5" x14ac:dyDescent="0.2">
      <c r="B108" s="346" t="s">
        <v>86</v>
      </c>
      <c r="C108" s="347" t="s">
        <v>190</v>
      </c>
      <c r="D108" s="288"/>
      <c r="E108" s="288"/>
      <c r="F108" s="288"/>
      <c r="G108" s="288"/>
    </row>
    <row r="109" spans="2:7" ht="12.75" x14ac:dyDescent="0.2"/>
    <row r="110" spans="2:7" ht="12.75" x14ac:dyDescent="0.2"/>
    <row r="111" spans="2:7" ht="12.75" x14ac:dyDescent="0.2"/>
    <row r="112" spans="2:7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</sheetData>
  <mergeCells count="28">
    <mergeCell ref="B42:C42"/>
    <mergeCell ref="B7:C7"/>
    <mergeCell ref="B6:C6"/>
    <mergeCell ref="A11:C11"/>
    <mergeCell ref="A15:C15"/>
    <mergeCell ref="B30:C30"/>
    <mergeCell ref="B29:C29"/>
    <mergeCell ref="B17:C17"/>
    <mergeCell ref="B18:C18"/>
    <mergeCell ref="B37:C37"/>
    <mergeCell ref="A41:C41"/>
    <mergeCell ref="B32:C32"/>
    <mergeCell ref="B36:C36"/>
    <mergeCell ref="A39:C39"/>
    <mergeCell ref="A40:C40"/>
    <mergeCell ref="A19:C19"/>
    <mergeCell ref="A20:C20"/>
    <mergeCell ref="B33:C33"/>
    <mergeCell ref="B34:C34"/>
    <mergeCell ref="B35:C35"/>
    <mergeCell ref="B31:C31"/>
    <mergeCell ref="B89:C89"/>
    <mergeCell ref="B43:C43"/>
    <mergeCell ref="B44:C44"/>
    <mergeCell ref="A46:C46"/>
    <mergeCell ref="A47:C47"/>
    <mergeCell ref="B87:C87"/>
    <mergeCell ref="B86:C86"/>
  </mergeCells>
  <hyperlinks>
    <hyperlink ref="D2" location="'Balanço 2014'!A1" display="Balanço Energético" xr:uid="{00000000-0004-0000-0000-000000000000}"/>
    <hyperlink ref="D3" location="PCIs!A1" display="PCIs" xr:uid="{00000000-0004-0000-0000-000001000000}"/>
  </hyperlinks>
  <printOptions horizontalCentered="1"/>
  <pageMargins left="0.70866141732283472" right="0.70866141732283472" top="0.59055118110236227" bottom="0.39370078740157483" header="0.31496062992125984" footer="0.31496062992125984"/>
  <pageSetup paperSize="9" scale="97" fitToHeight="0" orientation="portrait" r:id="rId1"/>
  <headerFooter>
    <oddHeader>&amp;R&amp;9&amp;P/&amp;N</oddHeader>
  </headerFooter>
  <rowBreaks count="1" manualBreakCount="1">
    <brk id="65" max="2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olha7">
    <pageSetUpPr fitToPage="1"/>
  </sheetPr>
  <dimension ref="A1:AS112"/>
  <sheetViews>
    <sheetView showGridLines="0" showZeros="0" zoomScaleNormal="100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C7" sqref="C7"/>
    </sheetView>
  </sheetViews>
  <sheetFormatPr defaultRowHeight="12.75" x14ac:dyDescent="0.2"/>
  <cols>
    <col min="1" max="1" width="30.7109375" customWidth="1"/>
    <col min="2" max="2" width="6.28515625" customWidth="1"/>
    <col min="3" max="5" width="8.7109375" customWidth="1"/>
    <col min="6" max="15" width="8.5703125" customWidth="1"/>
    <col min="16" max="16" width="10.28515625" customWidth="1"/>
    <col min="17" max="17" width="8.42578125" customWidth="1"/>
    <col min="18" max="18" width="8.7109375" customWidth="1"/>
    <col min="19" max="19" width="8" customWidth="1"/>
    <col min="20" max="21" width="7.85546875" customWidth="1"/>
    <col min="22" max="22" width="10" customWidth="1"/>
    <col min="23" max="23" width="10.5703125" customWidth="1"/>
    <col min="24" max="24" width="9" customWidth="1"/>
    <col min="25" max="25" width="9.42578125" customWidth="1"/>
    <col min="26" max="26" width="8.28515625" customWidth="1"/>
    <col min="27" max="27" width="9.28515625" customWidth="1"/>
    <col min="28" max="28" width="8.42578125" customWidth="1"/>
    <col min="29" max="29" width="7.7109375" customWidth="1"/>
    <col min="30" max="30" width="7.85546875" customWidth="1"/>
    <col min="31" max="31" width="7.42578125" customWidth="1"/>
    <col min="32" max="32" width="9.7109375" customWidth="1"/>
    <col min="33" max="33" width="9.5703125" customWidth="1"/>
    <col min="34" max="34" width="9.28515625" customWidth="1"/>
    <col min="35" max="35" width="8.85546875" customWidth="1"/>
    <col min="36" max="36" width="8" customWidth="1"/>
    <col min="37" max="37" width="8.28515625" customWidth="1"/>
    <col min="38" max="38" width="8" customWidth="1"/>
    <col min="39" max="39" width="8.7109375" customWidth="1"/>
    <col min="40" max="40" width="8" customWidth="1"/>
    <col min="41" max="41" width="7.28515625" customWidth="1"/>
    <col min="42" max="42" width="9" customWidth="1"/>
    <col min="43" max="43" width="9.42578125" customWidth="1"/>
    <col min="44" max="44" width="10" customWidth="1"/>
    <col min="45" max="45" width="10.7109375" customWidth="1"/>
  </cols>
  <sheetData>
    <row r="1" spans="1:45" s="317" customFormat="1" x14ac:dyDescent="0.2">
      <c r="A1" s="316"/>
      <c r="E1" s="322"/>
      <c r="F1" s="322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3"/>
      <c r="V1" s="323"/>
      <c r="W1" s="323"/>
      <c r="X1" s="323"/>
      <c r="Y1" s="323"/>
      <c r="Z1" s="323"/>
      <c r="AA1" s="323"/>
      <c r="AB1" s="323"/>
      <c r="AC1" s="323"/>
      <c r="AD1" s="323"/>
      <c r="AE1" s="323"/>
      <c r="AF1" s="323"/>
      <c r="AG1" s="323"/>
      <c r="AH1" s="323"/>
      <c r="AI1" s="323"/>
      <c r="AJ1" s="323"/>
      <c r="AK1" s="323"/>
      <c r="AL1" s="323"/>
      <c r="AM1" s="323"/>
      <c r="AN1" s="323"/>
      <c r="AO1" s="323"/>
      <c r="AP1" s="323"/>
      <c r="AQ1"/>
      <c r="AR1" s="323"/>
      <c r="AS1" s="323"/>
    </row>
    <row r="2" spans="1:45" s="317" customFormat="1" ht="15.75" x14ac:dyDescent="0.25">
      <c r="A2" s="318" t="s">
        <v>119</v>
      </c>
      <c r="C2" s="319"/>
      <c r="E2" s="322"/>
      <c r="F2" s="322"/>
      <c r="G2" s="323"/>
      <c r="H2" s="322"/>
      <c r="I2" s="322"/>
      <c r="J2" s="322"/>
      <c r="K2" s="322"/>
      <c r="L2" s="322"/>
      <c r="M2" s="322"/>
      <c r="N2" s="322"/>
      <c r="O2" s="322"/>
      <c r="P2" s="322"/>
      <c r="Q2" s="322"/>
      <c r="R2" s="322"/>
      <c r="S2" s="322"/>
      <c r="T2" s="322"/>
      <c r="U2" s="322"/>
      <c r="V2" s="322"/>
      <c r="W2" s="322"/>
      <c r="X2" s="322"/>
      <c r="Y2" s="322"/>
      <c r="Z2" s="322"/>
      <c r="AA2" s="322"/>
      <c r="AB2" s="322"/>
      <c r="AC2" s="322"/>
      <c r="AD2" s="322"/>
      <c r="AE2" s="322"/>
      <c r="AF2" s="322"/>
      <c r="AG2" s="322"/>
      <c r="AH2" s="322"/>
      <c r="AI2" s="322"/>
      <c r="AJ2" s="322"/>
      <c r="AK2" s="322"/>
      <c r="AL2" s="322"/>
      <c r="AM2" s="322"/>
      <c r="AN2" s="322"/>
      <c r="AO2" s="322"/>
      <c r="AP2" s="322"/>
      <c r="AQ2"/>
      <c r="AR2" s="322"/>
      <c r="AS2" s="322"/>
    </row>
    <row r="3" spans="1:45" s="317" customFormat="1" ht="15" x14ac:dyDescent="0.25">
      <c r="A3" s="320" t="s">
        <v>133</v>
      </c>
      <c r="C3" s="321"/>
      <c r="E3" s="322"/>
      <c r="F3" s="322"/>
      <c r="G3" s="323"/>
      <c r="H3" s="322"/>
      <c r="I3" s="322"/>
      <c r="J3" s="322"/>
      <c r="K3" s="322"/>
      <c r="L3" s="322"/>
      <c r="M3" s="322"/>
      <c r="N3" s="322"/>
      <c r="O3" s="322"/>
      <c r="P3" s="322"/>
      <c r="Q3" s="322"/>
      <c r="R3" s="322"/>
      <c r="S3" s="322"/>
      <c r="T3" s="322"/>
      <c r="U3" s="322"/>
      <c r="V3" s="323"/>
      <c r="W3" s="323"/>
      <c r="X3" s="323"/>
      <c r="Y3" s="322"/>
      <c r="Z3" s="322"/>
      <c r="AA3" s="322"/>
      <c r="AB3" s="322"/>
      <c r="AC3" s="322"/>
      <c r="AD3" s="322"/>
      <c r="AE3" s="322"/>
      <c r="AF3" s="322"/>
      <c r="AG3" s="322"/>
      <c r="AH3" s="322"/>
      <c r="AI3" s="322"/>
      <c r="AJ3" s="322"/>
      <c r="AK3" s="322"/>
      <c r="AL3" s="322"/>
      <c r="AM3" s="322"/>
      <c r="AN3" s="322"/>
      <c r="AO3" s="322"/>
      <c r="AP3" s="322"/>
      <c r="AQ3"/>
      <c r="AR3" s="322"/>
      <c r="AS3" s="322"/>
    </row>
    <row r="4" spans="1:45" ht="5.25" customHeight="1" thickBot="1" x14ac:dyDescent="0.25"/>
    <row r="5" spans="1:45" ht="45.75" customHeight="1" thickTop="1" x14ac:dyDescent="0.2">
      <c r="A5" s="270" t="s">
        <v>101</v>
      </c>
      <c r="B5" s="273"/>
      <c r="C5" s="1" t="s">
        <v>145</v>
      </c>
      <c r="D5" s="2" t="s">
        <v>138</v>
      </c>
      <c r="E5" s="3" t="s">
        <v>1</v>
      </c>
      <c r="F5" s="4" t="s">
        <v>2</v>
      </c>
      <c r="G5" s="2" t="s">
        <v>3</v>
      </c>
      <c r="H5" s="5" t="s">
        <v>4</v>
      </c>
      <c r="I5" s="2" t="s">
        <v>5</v>
      </c>
      <c r="J5" s="2" t="s">
        <v>6</v>
      </c>
      <c r="K5" s="5" t="s">
        <v>7</v>
      </c>
      <c r="L5" s="2" t="s">
        <v>88</v>
      </c>
      <c r="M5" s="2" t="s">
        <v>8</v>
      </c>
      <c r="N5" s="2" t="s">
        <v>9</v>
      </c>
      <c r="O5" s="6" t="s">
        <v>10</v>
      </c>
      <c r="P5" s="7" t="s">
        <v>11</v>
      </c>
      <c r="Q5" s="8" t="s">
        <v>12</v>
      </c>
      <c r="R5" s="2" t="s">
        <v>13</v>
      </c>
      <c r="S5" s="2" t="s">
        <v>14</v>
      </c>
      <c r="T5" s="2" t="s">
        <v>15</v>
      </c>
      <c r="U5" s="9" t="s">
        <v>134</v>
      </c>
      <c r="V5" s="7" t="s">
        <v>17</v>
      </c>
      <c r="W5" s="10" t="s">
        <v>18</v>
      </c>
      <c r="X5" s="11" t="s">
        <v>19</v>
      </c>
      <c r="Y5" s="2" t="s">
        <v>123</v>
      </c>
      <c r="Z5" s="2" t="s">
        <v>21</v>
      </c>
      <c r="AA5" s="12" t="s">
        <v>146</v>
      </c>
      <c r="AB5" s="4" t="s">
        <v>113</v>
      </c>
      <c r="AC5" s="6" t="s">
        <v>108</v>
      </c>
      <c r="AD5" s="6" t="s">
        <v>109</v>
      </c>
      <c r="AE5" s="6" t="s">
        <v>110</v>
      </c>
      <c r="AF5" s="156" t="s">
        <v>114</v>
      </c>
      <c r="AG5" s="3" t="s">
        <v>115</v>
      </c>
      <c r="AH5" s="11" t="s">
        <v>22</v>
      </c>
      <c r="AI5" s="13" t="s">
        <v>148</v>
      </c>
      <c r="AJ5" s="157" t="s">
        <v>102</v>
      </c>
      <c r="AK5" s="14" t="s">
        <v>23</v>
      </c>
      <c r="AL5" s="6" t="s">
        <v>24</v>
      </c>
      <c r="AM5" s="2" t="s">
        <v>122</v>
      </c>
      <c r="AN5" s="2" t="s">
        <v>104</v>
      </c>
      <c r="AO5" s="2" t="s">
        <v>25</v>
      </c>
      <c r="AP5" s="2" t="s">
        <v>120</v>
      </c>
      <c r="AQ5" s="9" t="s">
        <v>303</v>
      </c>
      <c r="AR5" s="332" t="s">
        <v>116</v>
      </c>
      <c r="AS5" s="10" t="s">
        <v>26</v>
      </c>
    </row>
    <row r="6" spans="1:45" ht="18.75" customHeight="1" thickBot="1" x14ac:dyDescent="0.25">
      <c r="A6" s="272">
        <v>2014</v>
      </c>
      <c r="B6" s="271"/>
      <c r="C6" s="15">
        <v>1</v>
      </c>
      <c r="D6" s="16">
        <v>2</v>
      </c>
      <c r="E6" s="17" t="s">
        <v>139</v>
      </c>
      <c r="F6" s="18">
        <v>4</v>
      </c>
      <c r="G6" s="19">
        <v>5</v>
      </c>
      <c r="H6" s="19">
        <v>6</v>
      </c>
      <c r="I6" s="19">
        <v>7</v>
      </c>
      <c r="J6" s="19">
        <v>8</v>
      </c>
      <c r="K6" s="20">
        <v>9</v>
      </c>
      <c r="L6" s="19">
        <v>10</v>
      </c>
      <c r="M6" s="19">
        <v>11</v>
      </c>
      <c r="N6" s="19">
        <v>12</v>
      </c>
      <c r="O6" s="21">
        <v>13</v>
      </c>
      <c r="P6" s="22" t="s">
        <v>140</v>
      </c>
      <c r="Q6" s="18">
        <v>15</v>
      </c>
      <c r="R6" s="19">
        <v>16</v>
      </c>
      <c r="S6" s="19">
        <v>17</v>
      </c>
      <c r="T6" s="19">
        <v>18</v>
      </c>
      <c r="U6" s="19">
        <v>19</v>
      </c>
      <c r="V6" s="22" t="s">
        <v>141</v>
      </c>
      <c r="W6" s="23" t="s">
        <v>142</v>
      </c>
      <c r="X6" s="24">
        <v>22</v>
      </c>
      <c r="Y6" s="19">
        <v>23</v>
      </c>
      <c r="Z6" s="19">
        <v>24</v>
      </c>
      <c r="AA6" s="17" t="s">
        <v>143</v>
      </c>
      <c r="AB6" s="18">
        <v>26</v>
      </c>
      <c r="AC6" s="21">
        <v>27</v>
      </c>
      <c r="AD6" s="264">
        <v>28</v>
      </c>
      <c r="AE6" s="264">
        <v>29</v>
      </c>
      <c r="AF6" s="158">
        <v>30</v>
      </c>
      <c r="AG6" s="17">
        <v>31</v>
      </c>
      <c r="AH6" s="24">
        <v>32</v>
      </c>
      <c r="AI6" s="24">
        <v>33</v>
      </c>
      <c r="AJ6" s="25">
        <v>34</v>
      </c>
      <c r="AK6" s="21">
        <v>35</v>
      </c>
      <c r="AL6" s="19">
        <v>36</v>
      </c>
      <c r="AM6" s="19">
        <v>37</v>
      </c>
      <c r="AN6" s="19">
        <v>38</v>
      </c>
      <c r="AO6" s="19">
        <v>39</v>
      </c>
      <c r="AP6" s="19">
        <v>40</v>
      </c>
      <c r="AQ6" s="158">
        <v>41</v>
      </c>
      <c r="AR6" s="23" t="s">
        <v>304</v>
      </c>
      <c r="AS6" s="26" t="s">
        <v>305</v>
      </c>
    </row>
    <row r="7" spans="1:45" s="155" customFormat="1" ht="14.25" thickTop="1" x14ac:dyDescent="0.2">
      <c r="A7" s="159" t="s">
        <v>27</v>
      </c>
      <c r="B7" s="27" t="s">
        <v>28</v>
      </c>
      <c r="C7" s="28">
        <v>2705680</v>
      </c>
      <c r="D7" s="29">
        <v>6218</v>
      </c>
      <c r="E7" s="30">
        <v>2711898</v>
      </c>
      <c r="F7" s="31">
        <v>10838543</v>
      </c>
      <c r="G7" s="32">
        <v>1584399</v>
      </c>
      <c r="H7" s="32">
        <v>904314</v>
      </c>
      <c r="I7" s="32">
        <v>162008</v>
      </c>
      <c r="J7" s="29">
        <v>805</v>
      </c>
      <c r="K7" s="32">
        <v>110459</v>
      </c>
      <c r="L7" s="32">
        <v>710504</v>
      </c>
      <c r="M7" s="32">
        <v>228544</v>
      </c>
      <c r="N7" s="32">
        <v>180958</v>
      </c>
      <c r="O7" s="29">
        <v>366149</v>
      </c>
      <c r="P7" s="33">
        <v>15086683</v>
      </c>
      <c r="Q7" s="31">
        <v>38285</v>
      </c>
      <c r="R7" s="31">
        <v>73500</v>
      </c>
      <c r="S7" s="31">
        <v>4679</v>
      </c>
      <c r="T7" s="31">
        <v>235</v>
      </c>
      <c r="U7" s="29">
        <v>0</v>
      </c>
      <c r="V7" s="33">
        <v>116699</v>
      </c>
      <c r="W7" s="34">
        <v>15203382</v>
      </c>
      <c r="X7" s="35">
        <v>3487318</v>
      </c>
      <c r="Y7" s="36"/>
      <c r="Z7" s="36"/>
      <c r="AA7" s="37">
        <v>0</v>
      </c>
      <c r="AB7" s="38"/>
      <c r="AC7" s="36"/>
      <c r="AD7" s="259"/>
      <c r="AE7" s="259"/>
      <c r="AF7" s="160"/>
      <c r="AG7" s="303">
        <v>623212</v>
      </c>
      <c r="AH7" s="39"/>
      <c r="AI7" s="161">
        <v>24213</v>
      </c>
      <c r="AJ7" s="162"/>
      <c r="AK7" s="260">
        <v>56142</v>
      </c>
      <c r="AL7" s="36">
        <v>0</v>
      </c>
      <c r="AM7" s="36">
        <v>0</v>
      </c>
      <c r="AN7" s="36">
        <v>10815</v>
      </c>
      <c r="AO7" s="36">
        <v>0</v>
      </c>
      <c r="AP7" s="40">
        <v>8139</v>
      </c>
      <c r="AQ7" s="36"/>
      <c r="AR7" s="34">
        <v>75096</v>
      </c>
      <c r="AS7" s="261">
        <v>22125119</v>
      </c>
    </row>
    <row r="8" spans="1:45" s="155" customFormat="1" ht="13.5" x14ac:dyDescent="0.2">
      <c r="A8" s="163" t="s">
        <v>29</v>
      </c>
      <c r="B8" s="41" t="s">
        <v>199</v>
      </c>
      <c r="C8" s="42"/>
      <c r="D8" s="44"/>
      <c r="E8" s="45">
        <v>0</v>
      </c>
      <c r="F8" s="46"/>
      <c r="G8" s="44"/>
      <c r="H8" s="44"/>
      <c r="I8" s="44"/>
      <c r="J8" s="44"/>
      <c r="K8" s="44"/>
      <c r="L8" s="44"/>
      <c r="M8" s="44"/>
      <c r="N8" s="44"/>
      <c r="O8" s="44"/>
      <c r="P8" s="47"/>
      <c r="Q8" s="48"/>
      <c r="R8" s="44"/>
      <c r="S8" s="44"/>
      <c r="T8" s="44"/>
      <c r="U8" s="44"/>
      <c r="V8" s="47"/>
      <c r="W8" s="49">
        <v>0</v>
      </c>
      <c r="X8" s="50">
        <v>0</v>
      </c>
      <c r="Y8" s="44"/>
      <c r="Z8" s="44"/>
      <c r="AA8" s="51">
        <v>0</v>
      </c>
      <c r="AB8" s="52">
        <v>1411427</v>
      </c>
      <c r="AC8" s="53">
        <v>1041579</v>
      </c>
      <c r="AD8" s="255">
        <v>53949</v>
      </c>
      <c r="AE8" s="255">
        <v>17663</v>
      </c>
      <c r="AF8" s="164"/>
      <c r="AG8" s="45">
        <v>2524618</v>
      </c>
      <c r="AH8" s="54"/>
      <c r="AI8" s="50">
        <v>153514</v>
      </c>
      <c r="AJ8" s="42">
        <v>77086</v>
      </c>
      <c r="AK8" s="46">
        <v>1666507</v>
      </c>
      <c r="AL8" s="46">
        <v>81747</v>
      </c>
      <c r="AM8" s="46">
        <v>979157</v>
      </c>
      <c r="AN8" s="46">
        <v>41025</v>
      </c>
      <c r="AO8" s="46">
        <v>82171</v>
      </c>
      <c r="AP8" s="55">
        <v>301503</v>
      </c>
      <c r="AQ8" s="329">
        <v>595049</v>
      </c>
      <c r="AR8" s="60">
        <v>3824245</v>
      </c>
      <c r="AS8" s="56">
        <v>6502377</v>
      </c>
    </row>
    <row r="9" spans="1:45" s="155" customFormat="1" ht="13.5" x14ac:dyDescent="0.2">
      <c r="A9" s="163" t="s">
        <v>30</v>
      </c>
      <c r="B9" s="41" t="s">
        <v>200</v>
      </c>
      <c r="C9" s="57">
        <v>-83780</v>
      </c>
      <c r="D9" s="55">
        <v>85</v>
      </c>
      <c r="E9" s="45">
        <v>-83695</v>
      </c>
      <c r="F9" s="43">
        <v>-255624</v>
      </c>
      <c r="G9" s="43">
        <v>-4961</v>
      </c>
      <c r="H9" s="43">
        <v>8790</v>
      </c>
      <c r="I9" s="43">
        <v>22069</v>
      </c>
      <c r="J9" s="43">
        <v>0</v>
      </c>
      <c r="K9" s="43">
        <v>-44161</v>
      </c>
      <c r="L9" s="43">
        <v>-91575</v>
      </c>
      <c r="M9" s="43">
        <v>115603</v>
      </c>
      <c r="N9" s="43">
        <v>8407</v>
      </c>
      <c r="O9" s="55">
        <v>-20614</v>
      </c>
      <c r="P9" s="59">
        <v>-262066</v>
      </c>
      <c r="Q9" s="52">
        <v>-11035</v>
      </c>
      <c r="R9" s="43">
        <v>-8554</v>
      </c>
      <c r="S9" s="43">
        <v>754</v>
      </c>
      <c r="T9" s="43">
        <v>386</v>
      </c>
      <c r="U9" s="55">
        <v>32619</v>
      </c>
      <c r="V9" s="59">
        <v>14170</v>
      </c>
      <c r="W9" s="60">
        <v>-247896</v>
      </c>
      <c r="X9" s="61">
        <v>1246</v>
      </c>
      <c r="Y9" s="44"/>
      <c r="Z9" s="44"/>
      <c r="AA9" s="51">
        <v>0</v>
      </c>
      <c r="AB9" s="48"/>
      <c r="AC9" s="44"/>
      <c r="AD9" s="164"/>
      <c r="AE9" s="164"/>
      <c r="AF9" s="164"/>
      <c r="AG9" s="304">
        <v>0</v>
      </c>
      <c r="AH9" s="54"/>
      <c r="AI9" s="50"/>
      <c r="AJ9" s="165"/>
      <c r="AK9" s="46"/>
      <c r="AL9" s="55"/>
      <c r="AM9" s="55"/>
      <c r="AN9" s="55"/>
      <c r="AO9" s="55"/>
      <c r="AP9" s="262">
        <v>1690</v>
      </c>
      <c r="AQ9" s="69"/>
      <c r="AR9" s="60">
        <v>1690</v>
      </c>
      <c r="AS9" s="56">
        <v>-328655</v>
      </c>
    </row>
    <row r="10" spans="1:45" s="155" customFormat="1" ht="13.5" x14ac:dyDescent="0.2">
      <c r="A10" s="166" t="s">
        <v>31</v>
      </c>
      <c r="B10" s="62" t="s">
        <v>201</v>
      </c>
      <c r="C10" s="57">
        <v>116591</v>
      </c>
      <c r="D10" s="58">
        <v>12</v>
      </c>
      <c r="E10" s="63">
        <v>116603</v>
      </c>
      <c r="F10" s="64">
        <v>0</v>
      </c>
      <c r="G10" s="58">
        <v>164502</v>
      </c>
      <c r="H10" s="58">
        <v>42824</v>
      </c>
      <c r="I10" s="58">
        <v>1025938</v>
      </c>
      <c r="J10" s="58">
        <v>0</v>
      </c>
      <c r="K10" s="58">
        <v>1002850</v>
      </c>
      <c r="L10" s="58">
        <v>1388738</v>
      </c>
      <c r="M10" s="58">
        <v>2041878</v>
      </c>
      <c r="N10" s="58">
        <v>453370</v>
      </c>
      <c r="O10" s="58">
        <v>0</v>
      </c>
      <c r="P10" s="65">
        <v>6120100</v>
      </c>
      <c r="Q10" s="64">
        <v>68905</v>
      </c>
      <c r="R10" s="58">
        <v>62069</v>
      </c>
      <c r="S10" s="58">
        <v>3745</v>
      </c>
      <c r="T10" s="58">
        <v>15143</v>
      </c>
      <c r="U10" s="58">
        <v>110487</v>
      </c>
      <c r="V10" s="65">
        <v>260349</v>
      </c>
      <c r="W10" s="66">
        <v>6380449</v>
      </c>
      <c r="X10" s="67">
        <v>0</v>
      </c>
      <c r="Y10" s="69">
        <v>0</v>
      </c>
      <c r="Z10" s="69">
        <v>0</v>
      </c>
      <c r="AA10" s="70">
        <v>0</v>
      </c>
      <c r="AB10" s="68">
        <v>0</v>
      </c>
      <c r="AC10" s="69">
        <v>0</v>
      </c>
      <c r="AD10" s="167">
        <v>0</v>
      </c>
      <c r="AE10" s="167">
        <v>0</v>
      </c>
      <c r="AF10" s="167">
        <v>0</v>
      </c>
      <c r="AG10" s="63">
        <v>545610</v>
      </c>
      <c r="AH10" s="71">
        <v>0</v>
      </c>
      <c r="AI10" s="71">
        <v>0</v>
      </c>
      <c r="AJ10" s="168">
        <v>0</v>
      </c>
      <c r="AK10" s="64">
        <v>363238</v>
      </c>
      <c r="AL10" s="69">
        <v>0</v>
      </c>
      <c r="AM10" s="69">
        <v>0</v>
      </c>
      <c r="AN10" s="69">
        <v>0</v>
      </c>
      <c r="AO10" s="69">
        <v>0</v>
      </c>
      <c r="AP10" s="64">
        <v>28463</v>
      </c>
      <c r="AQ10" s="69"/>
      <c r="AR10" s="66">
        <v>391701</v>
      </c>
      <c r="AS10" s="72">
        <v>7434363</v>
      </c>
    </row>
    <row r="11" spans="1:45" s="155" customFormat="1" ht="13.5" x14ac:dyDescent="0.2">
      <c r="A11" s="169" t="s">
        <v>32</v>
      </c>
      <c r="B11" s="170" t="s">
        <v>130</v>
      </c>
      <c r="C11" s="171">
        <v>116591</v>
      </c>
      <c r="D11" s="172">
        <v>12</v>
      </c>
      <c r="E11" s="173">
        <v>116603</v>
      </c>
      <c r="F11" s="174">
        <v>0</v>
      </c>
      <c r="G11" s="172">
        <v>164502</v>
      </c>
      <c r="H11" s="172">
        <v>42824</v>
      </c>
      <c r="I11" s="172">
        <v>1025938</v>
      </c>
      <c r="J11" s="172">
        <v>0</v>
      </c>
      <c r="K11" s="172">
        <v>1032</v>
      </c>
      <c r="L11" s="175">
        <v>1318098</v>
      </c>
      <c r="M11" s="175">
        <v>1505107</v>
      </c>
      <c r="N11" s="172">
        <v>453370</v>
      </c>
      <c r="O11" s="172">
        <v>0</v>
      </c>
      <c r="P11" s="176">
        <v>4510871</v>
      </c>
      <c r="Q11" s="177">
        <v>68198</v>
      </c>
      <c r="R11" s="172">
        <v>62069</v>
      </c>
      <c r="S11" s="172">
        <v>3745</v>
      </c>
      <c r="T11" s="172">
        <v>15143</v>
      </c>
      <c r="U11" s="172">
        <v>110487</v>
      </c>
      <c r="V11" s="176">
        <v>259642</v>
      </c>
      <c r="W11" s="178">
        <v>4770513</v>
      </c>
      <c r="X11" s="179">
        <v>0</v>
      </c>
      <c r="Y11" s="181"/>
      <c r="Z11" s="181"/>
      <c r="AA11" s="182">
        <v>0</v>
      </c>
      <c r="AB11" s="180"/>
      <c r="AC11" s="181"/>
      <c r="AD11" s="183"/>
      <c r="AE11" s="183"/>
      <c r="AF11" s="183"/>
      <c r="AG11" s="305">
        <v>545610</v>
      </c>
      <c r="AH11" s="184"/>
      <c r="AI11" s="184"/>
      <c r="AJ11" s="185"/>
      <c r="AK11" s="174">
        <v>363238</v>
      </c>
      <c r="AL11" s="181"/>
      <c r="AM11" s="181"/>
      <c r="AN11" s="181"/>
      <c r="AO11" s="181"/>
      <c r="AP11" s="186">
        <v>28463</v>
      </c>
      <c r="AQ11" s="181"/>
      <c r="AR11" s="333">
        <v>391701</v>
      </c>
      <c r="AS11" s="334">
        <v>5824427</v>
      </c>
    </row>
    <row r="12" spans="1:45" s="155" customFormat="1" ht="13.5" x14ac:dyDescent="0.2">
      <c r="A12" s="169" t="s">
        <v>33</v>
      </c>
      <c r="B12" s="170" t="s">
        <v>34</v>
      </c>
      <c r="C12" s="171"/>
      <c r="D12" s="172"/>
      <c r="E12" s="173">
        <v>0</v>
      </c>
      <c r="F12" s="174"/>
      <c r="G12" s="172"/>
      <c r="H12" s="172">
        <v>0</v>
      </c>
      <c r="I12" s="172">
        <v>0</v>
      </c>
      <c r="J12" s="172">
        <v>0</v>
      </c>
      <c r="K12" s="181">
        <v>0</v>
      </c>
      <c r="L12" s="175">
        <v>70640</v>
      </c>
      <c r="M12" s="175">
        <v>536771</v>
      </c>
      <c r="N12" s="172"/>
      <c r="O12" s="172"/>
      <c r="P12" s="176">
        <v>607411</v>
      </c>
      <c r="Q12" s="177">
        <v>707</v>
      </c>
      <c r="R12" s="172"/>
      <c r="S12" s="172"/>
      <c r="T12" s="172"/>
      <c r="U12" s="172"/>
      <c r="V12" s="176">
        <v>707</v>
      </c>
      <c r="W12" s="178">
        <v>608118</v>
      </c>
      <c r="X12" s="179">
        <v>0</v>
      </c>
      <c r="Y12" s="181"/>
      <c r="Z12" s="181"/>
      <c r="AA12" s="182">
        <v>0</v>
      </c>
      <c r="AB12" s="180"/>
      <c r="AC12" s="181"/>
      <c r="AD12" s="183"/>
      <c r="AE12" s="183"/>
      <c r="AF12" s="183"/>
      <c r="AG12" s="314"/>
      <c r="AH12" s="184"/>
      <c r="AI12" s="184"/>
      <c r="AJ12" s="185"/>
      <c r="AK12" s="315"/>
      <c r="AL12" s="181"/>
      <c r="AM12" s="181"/>
      <c r="AN12" s="181"/>
      <c r="AO12" s="181"/>
      <c r="AP12" s="186"/>
      <c r="AQ12" s="181"/>
      <c r="AR12" s="335">
        <v>0</v>
      </c>
      <c r="AS12" s="334">
        <v>608118</v>
      </c>
    </row>
    <row r="13" spans="1:45" s="155" customFormat="1" ht="13.5" x14ac:dyDescent="0.2">
      <c r="A13" s="169" t="s">
        <v>35</v>
      </c>
      <c r="B13" s="170" t="s">
        <v>202</v>
      </c>
      <c r="C13" s="185"/>
      <c r="D13" s="181"/>
      <c r="E13" s="182">
        <v>0</v>
      </c>
      <c r="F13" s="180"/>
      <c r="G13" s="181"/>
      <c r="H13" s="181"/>
      <c r="I13" s="175"/>
      <c r="J13" s="181"/>
      <c r="K13" s="172">
        <v>1001818</v>
      </c>
      <c r="L13" s="181"/>
      <c r="M13" s="181"/>
      <c r="N13" s="181"/>
      <c r="O13" s="181"/>
      <c r="P13" s="187">
        <v>1001818</v>
      </c>
      <c r="Q13" s="174"/>
      <c r="R13" s="181"/>
      <c r="S13" s="181"/>
      <c r="T13" s="181"/>
      <c r="U13" s="181"/>
      <c r="V13" s="176"/>
      <c r="W13" s="178">
        <v>1001818</v>
      </c>
      <c r="X13" s="184">
        <v>0</v>
      </c>
      <c r="Y13" s="181"/>
      <c r="Z13" s="181"/>
      <c r="AA13" s="182">
        <v>0</v>
      </c>
      <c r="AB13" s="180"/>
      <c r="AC13" s="181"/>
      <c r="AD13" s="183"/>
      <c r="AE13" s="183"/>
      <c r="AF13" s="183"/>
      <c r="AG13" s="182"/>
      <c r="AH13" s="184"/>
      <c r="AI13" s="184"/>
      <c r="AJ13" s="185"/>
      <c r="AK13" s="180"/>
      <c r="AL13" s="181"/>
      <c r="AM13" s="181"/>
      <c r="AN13" s="181"/>
      <c r="AO13" s="181"/>
      <c r="AP13" s="183"/>
      <c r="AQ13" s="181"/>
      <c r="AR13" s="335">
        <v>0</v>
      </c>
      <c r="AS13" s="334">
        <v>1001818</v>
      </c>
    </row>
    <row r="14" spans="1:45" s="155" customFormat="1" ht="13.5" x14ac:dyDescent="0.2">
      <c r="A14" s="190" t="s">
        <v>36</v>
      </c>
      <c r="B14" s="73" t="s">
        <v>203</v>
      </c>
      <c r="C14" s="74">
        <v>2672869</v>
      </c>
      <c r="D14" s="76">
        <v>6121</v>
      </c>
      <c r="E14" s="77">
        <v>2678990</v>
      </c>
      <c r="F14" s="78">
        <v>11094167</v>
      </c>
      <c r="G14" s="75">
        <v>1424858</v>
      </c>
      <c r="H14" s="75">
        <v>852700</v>
      </c>
      <c r="I14" s="75">
        <v>-885999</v>
      </c>
      <c r="J14" s="75">
        <v>805</v>
      </c>
      <c r="K14" s="75">
        <v>-848230</v>
      </c>
      <c r="L14" s="75">
        <v>-586659</v>
      </c>
      <c r="M14" s="75">
        <v>-1928937</v>
      </c>
      <c r="N14" s="75">
        <v>-280819</v>
      </c>
      <c r="O14" s="76">
        <v>386763</v>
      </c>
      <c r="P14" s="79">
        <v>9228649</v>
      </c>
      <c r="Q14" s="78">
        <v>-19585</v>
      </c>
      <c r="R14" s="75">
        <v>19985</v>
      </c>
      <c r="S14" s="75">
        <v>180</v>
      </c>
      <c r="T14" s="75">
        <v>-15294</v>
      </c>
      <c r="U14" s="76">
        <v>-143106</v>
      </c>
      <c r="V14" s="80">
        <v>-157820</v>
      </c>
      <c r="W14" s="81">
        <v>9070829</v>
      </c>
      <c r="X14" s="82">
        <v>3486072</v>
      </c>
      <c r="Y14" s="76"/>
      <c r="Z14" s="76">
        <v>0</v>
      </c>
      <c r="AA14" s="84">
        <v>0</v>
      </c>
      <c r="AB14" s="268">
        <v>1411427</v>
      </c>
      <c r="AC14" s="269">
        <v>1041579</v>
      </c>
      <c r="AD14" s="269">
        <v>53949</v>
      </c>
      <c r="AE14" s="269">
        <v>17663</v>
      </c>
      <c r="AF14" s="191"/>
      <c r="AG14" s="77">
        <v>2602220</v>
      </c>
      <c r="AH14" s="86">
        <v>0</v>
      </c>
      <c r="AI14" s="87">
        <v>177727</v>
      </c>
      <c r="AJ14" s="78">
        <v>77086</v>
      </c>
      <c r="AK14" s="78">
        <v>1359411</v>
      </c>
      <c r="AL14" s="75">
        <v>81747</v>
      </c>
      <c r="AM14" s="75">
        <v>979157</v>
      </c>
      <c r="AN14" s="76">
        <v>51840</v>
      </c>
      <c r="AO14" s="76">
        <v>82171</v>
      </c>
      <c r="AP14" s="76">
        <v>279489</v>
      </c>
      <c r="AQ14" s="325">
        <v>595049</v>
      </c>
      <c r="AR14" s="81">
        <v>3505950</v>
      </c>
      <c r="AS14" s="88">
        <v>21521788</v>
      </c>
    </row>
    <row r="15" spans="1:45" s="155" customFormat="1" ht="13.5" x14ac:dyDescent="0.2">
      <c r="A15" s="192" t="s">
        <v>37</v>
      </c>
      <c r="B15" s="89" t="s">
        <v>38</v>
      </c>
      <c r="C15" s="90">
        <v>2666717</v>
      </c>
      <c r="D15" s="91">
        <v>0</v>
      </c>
      <c r="E15" s="92">
        <v>2666717</v>
      </c>
      <c r="F15" s="93">
        <v>11090836</v>
      </c>
      <c r="G15" s="94">
        <v>873066</v>
      </c>
      <c r="H15" s="94">
        <v>-217870</v>
      </c>
      <c r="I15" s="91">
        <v>-2021902</v>
      </c>
      <c r="J15" s="91">
        <v>-404</v>
      </c>
      <c r="K15" s="91">
        <v>-1002030</v>
      </c>
      <c r="L15" s="94">
        <v>-5299964</v>
      </c>
      <c r="M15" s="94">
        <v>-2166817</v>
      </c>
      <c r="N15" s="94">
        <v>-992735</v>
      </c>
      <c r="O15" s="91">
        <v>0</v>
      </c>
      <c r="P15" s="95">
        <v>262180</v>
      </c>
      <c r="Q15" s="93">
        <v>-68608</v>
      </c>
      <c r="R15" s="94">
        <v>-110748</v>
      </c>
      <c r="S15" s="94">
        <v>-9480</v>
      </c>
      <c r="T15" s="94">
        <v>-17919</v>
      </c>
      <c r="U15" s="94">
        <v>-163615</v>
      </c>
      <c r="V15" s="96">
        <v>-370370</v>
      </c>
      <c r="W15" s="97">
        <v>-107640</v>
      </c>
      <c r="X15" s="98">
        <v>1827709</v>
      </c>
      <c r="Y15" s="91">
        <v>0</v>
      </c>
      <c r="Z15" s="91">
        <v>0</v>
      </c>
      <c r="AA15" s="100">
        <v>0</v>
      </c>
      <c r="AB15" s="310">
        <v>1411427</v>
      </c>
      <c r="AC15" s="311">
        <v>1041579</v>
      </c>
      <c r="AD15" s="312">
        <v>53949</v>
      </c>
      <c r="AE15" s="312">
        <v>17663</v>
      </c>
      <c r="AF15" s="193">
        <v>-2016424</v>
      </c>
      <c r="AG15" s="92">
        <v>-2016424</v>
      </c>
      <c r="AH15" s="98">
        <v>-1443391</v>
      </c>
      <c r="AI15" s="102">
        <v>92290</v>
      </c>
      <c r="AJ15" s="99">
        <v>0</v>
      </c>
      <c r="AK15" s="99">
        <v>438218</v>
      </c>
      <c r="AL15" s="91">
        <v>81747</v>
      </c>
      <c r="AM15" s="91">
        <v>979157</v>
      </c>
      <c r="AN15" s="91">
        <v>0</v>
      </c>
      <c r="AO15" s="91">
        <v>73719</v>
      </c>
      <c r="AP15" s="91">
        <v>274180</v>
      </c>
      <c r="AQ15" s="193">
        <v>0</v>
      </c>
      <c r="AR15" s="97">
        <v>1847021</v>
      </c>
      <c r="AS15" s="103">
        <v>2866282</v>
      </c>
    </row>
    <row r="16" spans="1:45" s="155" customFormat="1" ht="13.5" x14ac:dyDescent="0.2">
      <c r="A16" s="169" t="s">
        <v>39</v>
      </c>
      <c r="B16" s="170" t="s">
        <v>40</v>
      </c>
      <c r="C16" s="171"/>
      <c r="D16" s="172"/>
      <c r="E16" s="173">
        <v>0</v>
      </c>
      <c r="F16" s="174"/>
      <c r="G16" s="172"/>
      <c r="H16" s="175"/>
      <c r="I16" s="172"/>
      <c r="J16" s="172"/>
      <c r="K16" s="181"/>
      <c r="L16" s="172"/>
      <c r="M16" s="172"/>
      <c r="N16" s="172"/>
      <c r="O16" s="172"/>
      <c r="P16" s="176">
        <v>0</v>
      </c>
      <c r="Q16" s="174"/>
      <c r="R16" s="172"/>
      <c r="S16" s="172"/>
      <c r="T16" s="172"/>
      <c r="U16" s="172"/>
      <c r="V16" s="176">
        <v>0</v>
      </c>
      <c r="W16" s="178">
        <v>0</v>
      </c>
      <c r="X16" s="179"/>
      <c r="Y16" s="172"/>
      <c r="Z16" s="172"/>
      <c r="AA16" s="173">
        <v>0</v>
      </c>
      <c r="AB16" s="180"/>
      <c r="AC16" s="181"/>
      <c r="AD16" s="183"/>
      <c r="AE16" s="183"/>
      <c r="AF16" s="183"/>
      <c r="AG16" s="173">
        <v>0</v>
      </c>
      <c r="AH16" s="184"/>
      <c r="AI16" s="179"/>
      <c r="AJ16" s="171"/>
      <c r="AK16" s="174"/>
      <c r="AL16" s="172"/>
      <c r="AM16" s="172"/>
      <c r="AN16" s="172"/>
      <c r="AO16" s="172"/>
      <c r="AP16" s="186">
        <v>0</v>
      </c>
      <c r="AQ16" s="186"/>
      <c r="AR16" s="333">
        <v>0</v>
      </c>
      <c r="AS16" s="334">
        <v>0</v>
      </c>
    </row>
    <row r="17" spans="1:45" s="155" customFormat="1" ht="13.5" x14ac:dyDescent="0.2">
      <c r="A17" s="169" t="s">
        <v>0</v>
      </c>
      <c r="B17" s="170" t="s">
        <v>41</v>
      </c>
      <c r="C17" s="194"/>
      <c r="D17" s="172"/>
      <c r="E17" s="173">
        <v>0</v>
      </c>
      <c r="F17" s="174"/>
      <c r="G17" s="172"/>
      <c r="H17" s="172"/>
      <c r="I17" s="172"/>
      <c r="J17" s="172"/>
      <c r="K17" s="181"/>
      <c r="L17" s="172"/>
      <c r="M17" s="172"/>
      <c r="N17" s="172"/>
      <c r="O17" s="172"/>
      <c r="P17" s="176">
        <v>0</v>
      </c>
      <c r="Q17" s="174"/>
      <c r="R17" s="172"/>
      <c r="S17" s="172"/>
      <c r="T17" s="172"/>
      <c r="U17" s="172"/>
      <c r="V17" s="176">
        <v>0</v>
      </c>
      <c r="W17" s="178">
        <v>0</v>
      </c>
      <c r="X17" s="179"/>
      <c r="Y17" s="172"/>
      <c r="Z17" s="172"/>
      <c r="AA17" s="173">
        <v>0</v>
      </c>
      <c r="AB17" s="180"/>
      <c r="AC17" s="181"/>
      <c r="AD17" s="183"/>
      <c r="AE17" s="183"/>
      <c r="AF17" s="183"/>
      <c r="AG17" s="173">
        <v>0</v>
      </c>
      <c r="AH17" s="184"/>
      <c r="AI17" s="179"/>
      <c r="AJ17" s="171"/>
      <c r="AK17" s="174"/>
      <c r="AL17" s="172"/>
      <c r="AM17" s="172"/>
      <c r="AN17" s="172"/>
      <c r="AO17" s="172"/>
      <c r="AP17" s="186">
        <v>0</v>
      </c>
      <c r="AQ17" s="186"/>
      <c r="AR17" s="333">
        <v>0</v>
      </c>
      <c r="AS17" s="334">
        <v>0</v>
      </c>
    </row>
    <row r="18" spans="1:45" s="155" customFormat="1" ht="13.5" x14ac:dyDescent="0.2">
      <c r="A18" s="169" t="s">
        <v>42</v>
      </c>
      <c r="B18" s="170" t="s">
        <v>43</v>
      </c>
      <c r="C18" s="171"/>
      <c r="D18" s="172"/>
      <c r="E18" s="173">
        <v>0</v>
      </c>
      <c r="F18" s="177">
        <v>11090836</v>
      </c>
      <c r="G18" s="175">
        <v>1046905</v>
      </c>
      <c r="H18" s="175">
        <v>-217870</v>
      </c>
      <c r="I18" s="175">
        <v>-2021902</v>
      </c>
      <c r="J18" s="175">
        <v>-404</v>
      </c>
      <c r="K18" s="175">
        <v>-1002030</v>
      </c>
      <c r="L18" s="175">
        <v>-5317681</v>
      </c>
      <c r="M18" s="175">
        <v>-2425228</v>
      </c>
      <c r="N18" s="175">
        <v>-1261516</v>
      </c>
      <c r="O18" s="172">
        <v>0</v>
      </c>
      <c r="P18" s="195">
        <v>-108890</v>
      </c>
      <c r="Q18" s="177">
        <v>-68608</v>
      </c>
      <c r="R18" s="177">
        <v>-110748</v>
      </c>
      <c r="S18" s="177">
        <v>-9480</v>
      </c>
      <c r="T18" s="177">
        <v>-17919</v>
      </c>
      <c r="U18" s="175">
        <v>-163615</v>
      </c>
      <c r="V18" s="195">
        <v>-369820</v>
      </c>
      <c r="W18" s="178">
        <v>-478710</v>
      </c>
      <c r="X18" s="179">
        <v>0</v>
      </c>
      <c r="Y18" s="172">
        <v>0</v>
      </c>
      <c r="Z18" s="172">
        <v>192779</v>
      </c>
      <c r="AA18" s="173">
        <v>192779</v>
      </c>
      <c r="AB18" s="180"/>
      <c r="AC18" s="181"/>
      <c r="AD18" s="183"/>
      <c r="AE18" s="183"/>
      <c r="AF18" s="183"/>
      <c r="AG18" s="173">
        <v>0</v>
      </c>
      <c r="AH18" s="184"/>
      <c r="AI18" s="179">
        <v>0</v>
      </c>
      <c r="AJ18" s="171"/>
      <c r="AK18" s="174"/>
      <c r="AL18" s="172"/>
      <c r="AM18" s="172"/>
      <c r="AN18" s="172"/>
      <c r="AO18" s="172"/>
      <c r="AP18" s="186">
        <v>274180</v>
      </c>
      <c r="AQ18" s="186"/>
      <c r="AR18" s="333">
        <v>274180</v>
      </c>
      <c r="AS18" s="334">
        <v>-11751</v>
      </c>
    </row>
    <row r="19" spans="1:45" s="155" customFormat="1" ht="13.5" x14ac:dyDescent="0.2">
      <c r="A19" s="169" t="s">
        <v>21</v>
      </c>
      <c r="B19" s="170" t="s">
        <v>44</v>
      </c>
      <c r="C19" s="171"/>
      <c r="D19" s="172"/>
      <c r="E19" s="173">
        <v>0</v>
      </c>
      <c r="F19" s="174"/>
      <c r="G19" s="172">
        <v>0</v>
      </c>
      <c r="H19" s="172">
        <v>0</v>
      </c>
      <c r="I19" s="172">
        <v>0</v>
      </c>
      <c r="J19" s="172">
        <v>0</v>
      </c>
      <c r="K19" s="181"/>
      <c r="L19" s="228">
        <v>0</v>
      </c>
      <c r="M19" s="228"/>
      <c r="N19" s="251">
        <v>0</v>
      </c>
      <c r="O19" s="172"/>
      <c r="P19" s="195">
        <v>0</v>
      </c>
      <c r="Q19" s="174"/>
      <c r="R19" s="172"/>
      <c r="S19" s="172"/>
      <c r="T19" s="172"/>
      <c r="U19" s="175">
        <v>0</v>
      </c>
      <c r="V19" s="195">
        <v>0</v>
      </c>
      <c r="W19" s="178">
        <v>0</v>
      </c>
      <c r="X19" s="235">
        <v>234304</v>
      </c>
      <c r="Y19" s="172">
        <v>0</v>
      </c>
      <c r="Z19" s="172">
        <v>-192779</v>
      </c>
      <c r="AA19" s="173">
        <v>-192779</v>
      </c>
      <c r="AB19" s="180"/>
      <c r="AC19" s="181"/>
      <c r="AD19" s="183"/>
      <c r="AE19" s="183"/>
      <c r="AF19" s="183"/>
      <c r="AG19" s="173">
        <v>0</v>
      </c>
      <c r="AH19" s="184"/>
      <c r="AI19" s="179"/>
      <c r="AJ19" s="171"/>
      <c r="AK19" s="256"/>
      <c r="AL19" s="228"/>
      <c r="AM19" s="228"/>
      <c r="AN19" s="228"/>
      <c r="AO19" s="228"/>
      <c r="AP19" s="257">
        <v>0</v>
      </c>
      <c r="AQ19" s="186"/>
      <c r="AR19" s="333">
        <v>0</v>
      </c>
      <c r="AS19" s="334">
        <v>41525</v>
      </c>
    </row>
    <row r="20" spans="1:45" s="155" customFormat="1" ht="13.5" x14ac:dyDescent="0.2">
      <c r="A20" s="169" t="s">
        <v>45</v>
      </c>
      <c r="B20" s="170" t="s">
        <v>46</v>
      </c>
      <c r="C20" s="171"/>
      <c r="D20" s="172"/>
      <c r="E20" s="173"/>
      <c r="F20" s="174"/>
      <c r="G20" s="172">
        <v>-201386</v>
      </c>
      <c r="H20" s="172">
        <v>0</v>
      </c>
      <c r="I20" s="172">
        <v>0</v>
      </c>
      <c r="J20" s="172">
        <v>0</v>
      </c>
      <c r="K20" s="181"/>
      <c r="L20" s="228"/>
      <c r="M20" s="228">
        <v>0</v>
      </c>
      <c r="N20" s="228">
        <v>268781</v>
      </c>
      <c r="O20" s="172"/>
      <c r="P20" s="195">
        <v>67395</v>
      </c>
      <c r="Q20" s="174"/>
      <c r="R20" s="172"/>
      <c r="S20" s="172"/>
      <c r="T20" s="172"/>
      <c r="U20" s="175">
        <v>0</v>
      </c>
      <c r="V20" s="195">
        <v>0</v>
      </c>
      <c r="W20" s="178">
        <v>67395</v>
      </c>
      <c r="X20" s="235">
        <v>0</v>
      </c>
      <c r="Y20" s="172">
        <v>-67395</v>
      </c>
      <c r="Z20" s="172"/>
      <c r="AA20" s="173">
        <v>-67395</v>
      </c>
      <c r="AB20" s="180"/>
      <c r="AC20" s="181"/>
      <c r="AD20" s="183"/>
      <c r="AE20" s="183"/>
      <c r="AF20" s="183"/>
      <c r="AG20" s="173"/>
      <c r="AH20" s="184"/>
      <c r="AI20" s="179"/>
      <c r="AJ20" s="171"/>
      <c r="AK20" s="256"/>
      <c r="AL20" s="228"/>
      <c r="AM20" s="228"/>
      <c r="AN20" s="228"/>
      <c r="AO20" s="228"/>
      <c r="AP20" s="257">
        <v>0</v>
      </c>
      <c r="AQ20" s="186"/>
      <c r="AR20" s="333">
        <v>0</v>
      </c>
      <c r="AS20" s="334">
        <v>0</v>
      </c>
    </row>
    <row r="21" spans="1:45" s="155" customFormat="1" ht="13.5" x14ac:dyDescent="0.2">
      <c r="A21" s="169" t="s">
        <v>124</v>
      </c>
      <c r="B21" s="170" t="s">
        <v>47</v>
      </c>
      <c r="C21" s="196">
        <v>2666717</v>
      </c>
      <c r="D21" s="172">
        <v>0</v>
      </c>
      <c r="E21" s="173">
        <v>2666717</v>
      </c>
      <c r="F21" s="174"/>
      <c r="G21" s="172">
        <v>0</v>
      </c>
      <c r="H21" s="202"/>
      <c r="I21" s="172"/>
      <c r="J21" s="172"/>
      <c r="K21" s="181"/>
      <c r="L21" s="228">
        <v>17551</v>
      </c>
      <c r="M21" s="228">
        <v>165179</v>
      </c>
      <c r="N21" s="228">
        <v>0</v>
      </c>
      <c r="O21" s="172">
        <v>0</v>
      </c>
      <c r="P21" s="176">
        <v>182730</v>
      </c>
      <c r="Q21" s="174">
        <v>0</v>
      </c>
      <c r="R21" s="172">
        <v>0</v>
      </c>
      <c r="S21" s="172">
        <v>0</v>
      </c>
      <c r="T21" s="172">
        <v>0</v>
      </c>
      <c r="U21" s="172"/>
      <c r="V21" s="176">
        <v>0</v>
      </c>
      <c r="W21" s="178">
        <v>182730</v>
      </c>
      <c r="X21" s="235">
        <v>280890</v>
      </c>
      <c r="Y21" s="172">
        <v>0</v>
      </c>
      <c r="Z21" s="172"/>
      <c r="AA21" s="173">
        <v>0</v>
      </c>
      <c r="AB21" s="310">
        <v>1411427</v>
      </c>
      <c r="AC21" s="311">
        <v>1041579</v>
      </c>
      <c r="AD21" s="312">
        <v>53949</v>
      </c>
      <c r="AE21" s="312">
        <v>17663</v>
      </c>
      <c r="AF21" s="197">
        <v>-1372771</v>
      </c>
      <c r="AG21" s="173">
        <v>-1372771</v>
      </c>
      <c r="AH21" s="184"/>
      <c r="AI21" s="179">
        <v>81749</v>
      </c>
      <c r="AJ21" s="171"/>
      <c r="AK21" s="266">
        <v>291260</v>
      </c>
      <c r="AL21" s="228">
        <v>81747</v>
      </c>
      <c r="AM21" s="251">
        <v>0</v>
      </c>
      <c r="AN21" s="251">
        <v>0</v>
      </c>
      <c r="AO21" s="228">
        <v>69826</v>
      </c>
      <c r="AP21" s="257">
        <v>0</v>
      </c>
      <c r="AQ21" s="186"/>
      <c r="AR21" s="336">
        <v>442833</v>
      </c>
      <c r="AS21" s="334">
        <v>2282148</v>
      </c>
    </row>
    <row r="22" spans="1:45" s="155" customFormat="1" ht="13.5" x14ac:dyDescent="0.2">
      <c r="A22" s="169" t="s">
        <v>48</v>
      </c>
      <c r="B22" s="170" t="s">
        <v>49</v>
      </c>
      <c r="C22" s="194"/>
      <c r="D22" s="172"/>
      <c r="E22" s="173">
        <v>0</v>
      </c>
      <c r="F22" s="174"/>
      <c r="G22" s="172">
        <v>27547</v>
      </c>
      <c r="H22" s="202"/>
      <c r="I22" s="172">
        <v>0</v>
      </c>
      <c r="J22" s="172">
        <v>0</v>
      </c>
      <c r="K22" s="181">
        <v>0</v>
      </c>
      <c r="L22" s="228">
        <v>166</v>
      </c>
      <c r="M22" s="228">
        <v>93232</v>
      </c>
      <c r="N22" s="228">
        <v>0</v>
      </c>
      <c r="O22" s="172">
        <v>0</v>
      </c>
      <c r="P22" s="176">
        <v>120945</v>
      </c>
      <c r="Q22" s="172">
        <v>0</v>
      </c>
      <c r="R22" s="172">
        <v>0</v>
      </c>
      <c r="S22" s="172">
        <v>0</v>
      </c>
      <c r="T22" s="172">
        <v>0</v>
      </c>
      <c r="U22" s="172">
        <v>0</v>
      </c>
      <c r="V22" s="176"/>
      <c r="W22" s="178">
        <v>120945</v>
      </c>
      <c r="X22" s="235">
        <v>1312515</v>
      </c>
      <c r="Y22" s="172">
        <v>67395</v>
      </c>
      <c r="Z22" s="172"/>
      <c r="AA22" s="173">
        <v>67395</v>
      </c>
      <c r="AB22" s="180"/>
      <c r="AC22" s="181"/>
      <c r="AD22" s="183"/>
      <c r="AE22" s="183"/>
      <c r="AF22" s="208">
        <v>-643653</v>
      </c>
      <c r="AG22" s="173">
        <v>-643653</v>
      </c>
      <c r="AH22" s="179">
        <v>-1443391</v>
      </c>
      <c r="AI22" s="179">
        <v>10541</v>
      </c>
      <c r="AJ22" s="171">
        <v>0</v>
      </c>
      <c r="AK22" s="256">
        <v>146958</v>
      </c>
      <c r="AL22" s="228">
        <v>0</v>
      </c>
      <c r="AM22" s="228">
        <v>979157</v>
      </c>
      <c r="AN22" s="228">
        <v>0</v>
      </c>
      <c r="AO22" s="228">
        <v>3893</v>
      </c>
      <c r="AP22" s="257">
        <v>0</v>
      </c>
      <c r="AQ22" s="186"/>
      <c r="AR22" s="333">
        <v>1130008</v>
      </c>
      <c r="AS22" s="334">
        <v>554360</v>
      </c>
    </row>
    <row r="23" spans="1:45" s="155" customFormat="1" ht="13.5" x14ac:dyDescent="0.2">
      <c r="A23" s="198" t="s">
        <v>125</v>
      </c>
      <c r="B23" s="199" t="s">
        <v>204</v>
      </c>
      <c r="C23" s="196"/>
      <c r="D23" s="200"/>
      <c r="E23" s="201">
        <v>0</v>
      </c>
      <c r="F23" s="202"/>
      <c r="G23" s="203"/>
      <c r="H23" s="202"/>
      <c r="I23" s="200"/>
      <c r="J23" s="200"/>
      <c r="K23" s="203"/>
      <c r="L23" s="252">
        <v>56</v>
      </c>
      <c r="M23" s="252">
        <v>39491</v>
      </c>
      <c r="N23" s="252"/>
      <c r="O23" s="200"/>
      <c r="P23" s="204">
        <v>39547</v>
      </c>
      <c r="Q23" s="202"/>
      <c r="R23" s="200"/>
      <c r="S23" s="200"/>
      <c r="T23" s="200"/>
      <c r="U23" s="200"/>
      <c r="V23" s="204">
        <v>0</v>
      </c>
      <c r="W23" s="205">
        <v>39547</v>
      </c>
      <c r="X23" s="206">
        <v>0</v>
      </c>
      <c r="Y23" s="200"/>
      <c r="Z23" s="200"/>
      <c r="AA23" s="201">
        <v>0</v>
      </c>
      <c r="AB23" s="207"/>
      <c r="AC23" s="203"/>
      <c r="AD23" s="263"/>
      <c r="AE23" s="263"/>
      <c r="AF23" s="258">
        <v>-16546</v>
      </c>
      <c r="AG23" s="306">
        <v>-16546</v>
      </c>
      <c r="AH23" s="265">
        <v>-842</v>
      </c>
      <c r="AI23" s="265">
        <v>0</v>
      </c>
      <c r="AJ23" s="209"/>
      <c r="AK23" s="202">
        <v>0</v>
      </c>
      <c r="AL23" s="200">
        <v>0</v>
      </c>
      <c r="AM23" s="200">
        <v>0</v>
      </c>
      <c r="AN23" s="200">
        <v>0</v>
      </c>
      <c r="AO23" s="200">
        <v>0</v>
      </c>
      <c r="AP23" s="208">
        <v>0</v>
      </c>
      <c r="AQ23" s="208"/>
      <c r="AR23" s="333">
        <v>0</v>
      </c>
      <c r="AS23" s="334">
        <v>22159</v>
      </c>
    </row>
    <row r="24" spans="1:45" s="155" customFormat="1" ht="13.5" x14ac:dyDescent="0.2">
      <c r="A24" s="198" t="s">
        <v>50</v>
      </c>
      <c r="B24" s="199" t="s">
        <v>205</v>
      </c>
      <c r="C24" s="196"/>
      <c r="D24" s="200"/>
      <c r="E24" s="201">
        <v>0</v>
      </c>
      <c r="F24" s="202"/>
      <c r="G24" s="200">
        <v>27547</v>
      </c>
      <c r="H24" s="202"/>
      <c r="I24" s="200"/>
      <c r="J24" s="200"/>
      <c r="K24" s="203"/>
      <c r="L24" s="200">
        <v>0</v>
      </c>
      <c r="M24" s="200">
        <v>391</v>
      </c>
      <c r="N24" s="200"/>
      <c r="O24" s="200"/>
      <c r="P24" s="204">
        <v>27938</v>
      </c>
      <c r="Q24" s="202"/>
      <c r="R24" s="200"/>
      <c r="S24" s="200"/>
      <c r="T24" s="200"/>
      <c r="U24" s="200"/>
      <c r="V24" s="204">
        <v>0</v>
      </c>
      <c r="W24" s="205">
        <v>27938</v>
      </c>
      <c r="X24" s="206">
        <v>420622</v>
      </c>
      <c r="Y24" s="200"/>
      <c r="Z24" s="200"/>
      <c r="AA24" s="201">
        <v>0</v>
      </c>
      <c r="AB24" s="207"/>
      <c r="AC24" s="203"/>
      <c r="AD24" s="263"/>
      <c r="AE24" s="263"/>
      <c r="AF24" s="258">
        <v>-136664</v>
      </c>
      <c r="AG24" s="306">
        <v>-136664</v>
      </c>
      <c r="AH24" s="265">
        <v>-216984</v>
      </c>
      <c r="AI24" s="265">
        <v>0</v>
      </c>
      <c r="AJ24" s="209"/>
      <c r="AK24" s="202">
        <v>0</v>
      </c>
      <c r="AL24" s="200">
        <v>0</v>
      </c>
      <c r="AM24" s="200">
        <v>0</v>
      </c>
      <c r="AN24" s="200">
        <v>0</v>
      </c>
      <c r="AO24" s="200">
        <v>0</v>
      </c>
      <c r="AP24" s="208">
        <v>0</v>
      </c>
      <c r="AQ24" s="208"/>
      <c r="AR24" s="333">
        <v>0</v>
      </c>
      <c r="AS24" s="334">
        <v>94912</v>
      </c>
    </row>
    <row r="25" spans="1:45" s="155" customFormat="1" ht="13.5" x14ac:dyDescent="0.2">
      <c r="A25" s="198" t="s">
        <v>20</v>
      </c>
      <c r="B25" s="199" t="s">
        <v>206</v>
      </c>
      <c r="C25" s="196"/>
      <c r="D25" s="200"/>
      <c r="E25" s="201">
        <v>0</v>
      </c>
      <c r="F25" s="202"/>
      <c r="G25" s="203"/>
      <c r="H25" s="202"/>
      <c r="I25" s="200"/>
      <c r="J25" s="200"/>
      <c r="K25" s="203"/>
      <c r="L25" s="200">
        <v>0</v>
      </c>
      <c r="M25" s="200">
        <v>0</v>
      </c>
      <c r="N25" s="200"/>
      <c r="O25" s="200"/>
      <c r="P25" s="204">
        <v>0</v>
      </c>
      <c r="Q25" s="202"/>
      <c r="R25" s="200"/>
      <c r="S25" s="200"/>
      <c r="T25" s="200"/>
      <c r="U25" s="200"/>
      <c r="V25" s="204">
        <v>0</v>
      </c>
      <c r="W25" s="205">
        <v>0</v>
      </c>
      <c r="X25" s="206">
        <v>0</v>
      </c>
      <c r="Y25" s="200"/>
      <c r="Z25" s="200"/>
      <c r="AA25" s="201">
        <v>0</v>
      </c>
      <c r="AB25" s="207"/>
      <c r="AC25" s="203"/>
      <c r="AD25" s="263"/>
      <c r="AE25" s="263"/>
      <c r="AF25" s="258">
        <v>0</v>
      </c>
      <c r="AG25" s="306">
        <v>0</v>
      </c>
      <c r="AH25" s="265">
        <v>0</v>
      </c>
      <c r="AI25" s="265">
        <v>0</v>
      </c>
      <c r="AJ25" s="209"/>
      <c r="AK25" s="202">
        <v>0</v>
      </c>
      <c r="AL25" s="200">
        <v>0</v>
      </c>
      <c r="AM25" s="200">
        <v>0</v>
      </c>
      <c r="AN25" s="200">
        <v>0</v>
      </c>
      <c r="AO25" s="200">
        <v>0</v>
      </c>
      <c r="AP25" s="208">
        <v>0</v>
      </c>
      <c r="AQ25" s="208"/>
      <c r="AR25" s="333">
        <v>0</v>
      </c>
      <c r="AS25" s="334">
        <v>0</v>
      </c>
    </row>
    <row r="26" spans="1:45" s="155" customFormat="1" ht="13.5" x14ac:dyDescent="0.2">
      <c r="A26" s="198" t="s">
        <v>51</v>
      </c>
      <c r="B26" s="199" t="s">
        <v>207</v>
      </c>
      <c r="C26" s="196"/>
      <c r="D26" s="200"/>
      <c r="E26" s="201">
        <v>0</v>
      </c>
      <c r="F26" s="202"/>
      <c r="G26" s="203"/>
      <c r="H26" s="202"/>
      <c r="I26" s="200"/>
      <c r="J26" s="200"/>
      <c r="K26" s="203"/>
      <c r="L26" s="200">
        <v>0</v>
      </c>
      <c r="M26" s="200">
        <v>0</v>
      </c>
      <c r="N26" s="200"/>
      <c r="O26" s="200"/>
      <c r="P26" s="204">
        <v>0</v>
      </c>
      <c r="Q26" s="202"/>
      <c r="R26" s="200"/>
      <c r="S26" s="200"/>
      <c r="T26" s="200"/>
      <c r="U26" s="200"/>
      <c r="V26" s="204">
        <v>0</v>
      </c>
      <c r="W26" s="205">
        <v>0</v>
      </c>
      <c r="X26" s="206">
        <v>3107</v>
      </c>
      <c r="Y26" s="200"/>
      <c r="Z26" s="200"/>
      <c r="AA26" s="201">
        <v>0</v>
      </c>
      <c r="AB26" s="207"/>
      <c r="AC26" s="203"/>
      <c r="AD26" s="263"/>
      <c r="AE26" s="263"/>
      <c r="AF26" s="208">
        <v>-1373</v>
      </c>
      <c r="AG26" s="201">
        <v>-1373</v>
      </c>
      <c r="AH26" s="206">
        <v>-1203</v>
      </c>
      <c r="AI26" s="206">
        <v>0</v>
      </c>
      <c r="AJ26" s="209"/>
      <c r="AK26" s="202">
        <v>0</v>
      </c>
      <c r="AL26" s="200">
        <v>0</v>
      </c>
      <c r="AM26" s="200">
        <v>0</v>
      </c>
      <c r="AN26" s="200">
        <v>0</v>
      </c>
      <c r="AO26" s="200">
        <v>377</v>
      </c>
      <c r="AP26" s="208">
        <v>0</v>
      </c>
      <c r="AQ26" s="208"/>
      <c r="AR26" s="333">
        <v>377</v>
      </c>
      <c r="AS26" s="334">
        <v>908</v>
      </c>
    </row>
    <row r="27" spans="1:45" s="155" customFormat="1" ht="13.5" x14ac:dyDescent="0.2">
      <c r="A27" s="198" t="s">
        <v>105</v>
      </c>
      <c r="B27" s="199" t="s">
        <v>208</v>
      </c>
      <c r="C27" s="196"/>
      <c r="D27" s="200"/>
      <c r="E27" s="201">
        <v>0</v>
      </c>
      <c r="F27" s="202"/>
      <c r="G27" s="203"/>
      <c r="H27" s="202"/>
      <c r="I27" s="200"/>
      <c r="J27" s="200"/>
      <c r="K27" s="203"/>
      <c r="L27" s="200">
        <v>0</v>
      </c>
      <c r="M27" s="200">
        <v>3675</v>
      </c>
      <c r="N27" s="200"/>
      <c r="O27" s="200"/>
      <c r="P27" s="204">
        <v>3675</v>
      </c>
      <c r="Q27" s="202"/>
      <c r="R27" s="200"/>
      <c r="S27" s="200"/>
      <c r="T27" s="200"/>
      <c r="U27" s="200"/>
      <c r="V27" s="204">
        <v>0</v>
      </c>
      <c r="W27" s="205">
        <v>3675</v>
      </c>
      <c r="X27" s="206">
        <v>98651</v>
      </c>
      <c r="Y27" s="200"/>
      <c r="Z27" s="200"/>
      <c r="AA27" s="201">
        <v>0</v>
      </c>
      <c r="AB27" s="207"/>
      <c r="AC27" s="203"/>
      <c r="AD27" s="263"/>
      <c r="AE27" s="263"/>
      <c r="AF27" s="208">
        <v>-25445</v>
      </c>
      <c r="AG27" s="201">
        <v>-25445</v>
      </c>
      <c r="AH27" s="206">
        <v>-53170</v>
      </c>
      <c r="AI27" s="206">
        <v>0</v>
      </c>
      <c r="AJ27" s="209"/>
      <c r="AK27" s="202">
        <v>0</v>
      </c>
      <c r="AL27" s="200">
        <v>0</v>
      </c>
      <c r="AM27" s="200">
        <v>0</v>
      </c>
      <c r="AN27" s="200">
        <v>0</v>
      </c>
      <c r="AO27" s="200">
        <v>0</v>
      </c>
      <c r="AP27" s="208">
        <v>0</v>
      </c>
      <c r="AQ27" s="208"/>
      <c r="AR27" s="333">
        <v>0</v>
      </c>
      <c r="AS27" s="334">
        <v>23711</v>
      </c>
    </row>
    <row r="28" spans="1:45" s="155" customFormat="1" ht="13.5" x14ac:dyDescent="0.2">
      <c r="A28" s="198" t="s">
        <v>106</v>
      </c>
      <c r="B28" s="199" t="s">
        <v>209</v>
      </c>
      <c r="C28" s="196"/>
      <c r="D28" s="200"/>
      <c r="E28" s="201">
        <v>0</v>
      </c>
      <c r="F28" s="202"/>
      <c r="G28" s="203"/>
      <c r="H28" s="202"/>
      <c r="I28" s="200"/>
      <c r="J28" s="200"/>
      <c r="K28" s="203"/>
      <c r="L28" s="200">
        <v>11</v>
      </c>
      <c r="M28" s="200">
        <v>656</v>
      </c>
      <c r="N28" s="200"/>
      <c r="O28" s="200"/>
      <c r="P28" s="204">
        <v>667</v>
      </c>
      <c r="Q28" s="202"/>
      <c r="R28" s="200"/>
      <c r="S28" s="200"/>
      <c r="T28" s="200"/>
      <c r="U28" s="200"/>
      <c r="V28" s="204">
        <v>0</v>
      </c>
      <c r="W28" s="205">
        <v>667</v>
      </c>
      <c r="X28" s="206">
        <v>111459</v>
      </c>
      <c r="Y28" s="200"/>
      <c r="Z28" s="200"/>
      <c r="AA28" s="201">
        <v>0</v>
      </c>
      <c r="AB28" s="207"/>
      <c r="AC28" s="203"/>
      <c r="AD28" s="263"/>
      <c r="AE28" s="263"/>
      <c r="AF28" s="208">
        <v>-44705</v>
      </c>
      <c r="AG28" s="201">
        <v>-44705</v>
      </c>
      <c r="AH28" s="206">
        <v>-38391</v>
      </c>
      <c r="AI28" s="206">
        <v>0</v>
      </c>
      <c r="AJ28" s="209"/>
      <c r="AK28" s="202">
        <v>0</v>
      </c>
      <c r="AL28" s="200">
        <v>0</v>
      </c>
      <c r="AM28" s="200">
        <v>0</v>
      </c>
      <c r="AN28" s="200">
        <v>0</v>
      </c>
      <c r="AO28" s="200">
        <v>0</v>
      </c>
      <c r="AP28" s="208">
        <v>0</v>
      </c>
      <c r="AQ28" s="208"/>
      <c r="AR28" s="333">
        <v>0</v>
      </c>
      <c r="AS28" s="334">
        <v>29030</v>
      </c>
    </row>
    <row r="29" spans="1:45" s="155" customFormat="1" ht="13.5" x14ac:dyDescent="0.2">
      <c r="A29" s="198" t="s">
        <v>52</v>
      </c>
      <c r="B29" s="199" t="s">
        <v>210</v>
      </c>
      <c r="C29" s="196"/>
      <c r="D29" s="200"/>
      <c r="E29" s="201">
        <v>0</v>
      </c>
      <c r="F29" s="202"/>
      <c r="G29" s="203"/>
      <c r="H29" s="202"/>
      <c r="I29" s="200"/>
      <c r="J29" s="200"/>
      <c r="K29" s="203"/>
      <c r="L29" s="200">
        <v>57</v>
      </c>
      <c r="M29" s="200">
        <v>16539</v>
      </c>
      <c r="N29" s="200"/>
      <c r="O29" s="200"/>
      <c r="P29" s="204">
        <v>16596</v>
      </c>
      <c r="Q29" s="202"/>
      <c r="R29" s="200"/>
      <c r="S29" s="200"/>
      <c r="T29" s="200"/>
      <c r="U29" s="200"/>
      <c r="V29" s="204">
        <v>0</v>
      </c>
      <c r="W29" s="205">
        <v>16596</v>
      </c>
      <c r="X29" s="206">
        <v>409467</v>
      </c>
      <c r="Y29" s="200"/>
      <c r="Z29" s="200"/>
      <c r="AA29" s="201">
        <v>0</v>
      </c>
      <c r="AB29" s="207"/>
      <c r="AC29" s="203"/>
      <c r="AD29" s="263"/>
      <c r="AE29" s="263"/>
      <c r="AF29" s="208">
        <v>-314225</v>
      </c>
      <c r="AG29" s="201">
        <v>-314225</v>
      </c>
      <c r="AH29" s="206">
        <v>-945266</v>
      </c>
      <c r="AI29" s="206">
        <v>0</v>
      </c>
      <c r="AJ29" s="209"/>
      <c r="AK29" s="202">
        <v>128607</v>
      </c>
      <c r="AL29" s="200">
        <v>0</v>
      </c>
      <c r="AM29" s="200">
        <v>979157</v>
      </c>
      <c r="AN29" s="200">
        <v>0</v>
      </c>
      <c r="AO29" s="200">
        <v>0</v>
      </c>
      <c r="AP29" s="208">
        <v>0</v>
      </c>
      <c r="AQ29" s="208"/>
      <c r="AR29" s="333">
        <v>1107764</v>
      </c>
      <c r="AS29" s="334">
        <v>274336</v>
      </c>
    </row>
    <row r="30" spans="1:45" s="155" customFormat="1" ht="13.5" x14ac:dyDescent="0.2">
      <c r="A30" s="198" t="s">
        <v>53</v>
      </c>
      <c r="B30" s="199" t="s">
        <v>211</v>
      </c>
      <c r="C30" s="196"/>
      <c r="D30" s="200"/>
      <c r="E30" s="201">
        <v>0</v>
      </c>
      <c r="F30" s="202"/>
      <c r="G30" s="200"/>
      <c r="H30" s="202"/>
      <c r="I30" s="200"/>
      <c r="J30" s="200"/>
      <c r="K30" s="203"/>
      <c r="L30" s="200">
        <v>0</v>
      </c>
      <c r="M30" s="200">
        <v>22529</v>
      </c>
      <c r="N30" s="200"/>
      <c r="O30" s="200"/>
      <c r="P30" s="204">
        <v>22529</v>
      </c>
      <c r="Q30" s="202"/>
      <c r="R30" s="200"/>
      <c r="S30" s="200"/>
      <c r="T30" s="200"/>
      <c r="U30" s="200"/>
      <c r="V30" s="204">
        <v>0</v>
      </c>
      <c r="W30" s="205">
        <v>22529</v>
      </c>
      <c r="X30" s="206">
        <v>79631</v>
      </c>
      <c r="Y30" s="200">
        <v>67395</v>
      </c>
      <c r="Z30" s="200"/>
      <c r="AA30" s="201">
        <v>67395</v>
      </c>
      <c r="AB30" s="207"/>
      <c r="AC30" s="203"/>
      <c r="AD30" s="263"/>
      <c r="AE30" s="263"/>
      <c r="AF30" s="208">
        <v>-30151</v>
      </c>
      <c r="AG30" s="201">
        <v>-30151</v>
      </c>
      <c r="AH30" s="206">
        <v>-91416</v>
      </c>
      <c r="AI30" s="206">
        <v>7811</v>
      </c>
      <c r="AJ30" s="209"/>
      <c r="AK30" s="202">
        <v>0</v>
      </c>
      <c r="AL30" s="200">
        <v>0</v>
      </c>
      <c r="AM30" s="200">
        <v>0</v>
      </c>
      <c r="AN30" s="200">
        <v>0</v>
      </c>
      <c r="AO30" s="200">
        <v>0</v>
      </c>
      <c r="AP30" s="208">
        <v>0</v>
      </c>
      <c r="AQ30" s="208"/>
      <c r="AR30" s="333">
        <v>0</v>
      </c>
      <c r="AS30" s="334">
        <v>55799</v>
      </c>
    </row>
    <row r="31" spans="1:45" s="155" customFormat="1" ht="13.5" x14ac:dyDescent="0.2">
      <c r="A31" s="198" t="s">
        <v>54</v>
      </c>
      <c r="B31" s="199" t="s">
        <v>212</v>
      </c>
      <c r="C31" s="196"/>
      <c r="D31" s="200"/>
      <c r="E31" s="201">
        <v>0</v>
      </c>
      <c r="F31" s="202"/>
      <c r="G31" s="203"/>
      <c r="H31" s="202"/>
      <c r="I31" s="200"/>
      <c r="J31" s="200"/>
      <c r="K31" s="203"/>
      <c r="L31" s="200">
        <v>0</v>
      </c>
      <c r="M31" s="200">
        <v>0</v>
      </c>
      <c r="N31" s="200"/>
      <c r="O31" s="200"/>
      <c r="P31" s="204">
        <v>0</v>
      </c>
      <c r="Q31" s="202"/>
      <c r="R31" s="200"/>
      <c r="S31" s="200"/>
      <c r="T31" s="200"/>
      <c r="U31" s="200"/>
      <c r="V31" s="204">
        <v>0</v>
      </c>
      <c r="W31" s="205">
        <v>0</v>
      </c>
      <c r="X31" s="206">
        <v>31783</v>
      </c>
      <c r="Y31" s="200"/>
      <c r="Z31" s="200"/>
      <c r="AA31" s="201">
        <v>0</v>
      </c>
      <c r="AB31" s="207"/>
      <c r="AC31" s="203"/>
      <c r="AD31" s="263"/>
      <c r="AE31" s="263"/>
      <c r="AF31" s="208">
        <v>-10846</v>
      </c>
      <c r="AG31" s="201">
        <v>-10846</v>
      </c>
      <c r="AH31" s="206">
        <v>-15806</v>
      </c>
      <c r="AI31" s="206">
        <v>0</v>
      </c>
      <c r="AJ31" s="209"/>
      <c r="AK31" s="202">
        <v>0</v>
      </c>
      <c r="AL31" s="200">
        <v>0</v>
      </c>
      <c r="AM31" s="200">
        <v>0</v>
      </c>
      <c r="AN31" s="200">
        <v>0</v>
      </c>
      <c r="AO31" s="200">
        <v>0</v>
      </c>
      <c r="AP31" s="208">
        <v>0</v>
      </c>
      <c r="AQ31" s="208"/>
      <c r="AR31" s="333">
        <v>0</v>
      </c>
      <c r="AS31" s="334">
        <v>5131</v>
      </c>
    </row>
    <row r="32" spans="1:45" s="155" customFormat="1" ht="13.5" x14ac:dyDescent="0.2">
      <c r="A32" s="198" t="s">
        <v>55</v>
      </c>
      <c r="B32" s="199" t="s">
        <v>213</v>
      </c>
      <c r="C32" s="196"/>
      <c r="D32" s="200"/>
      <c r="E32" s="201">
        <v>0</v>
      </c>
      <c r="F32" s="202"/>
      <c r="G32" s="203"/>
      <c r="H32" s="202"/>
      <c r="I32" s="200"/>
      <c r="J32" s="200"/>
      <c r="K32" s="203"/>
      <c r="L32" s="200">
        <v>0</v>
      </c>
      <c r="M32" s="200">
        <v>0</v>
      </c>
      <c r="N32" s="200"/>
      <c r="O32" s="200"/>
      <c r="P32" s="204">
        <v>0</v>
      </c>
      <c r="Q32" s="202"/>
      <c r="R32" s="200"/>
      <c r="S32" s="200"/>
      <c r="T32" s="200"/>
      <c r="U32" s="200"/>
      <c r="V32" s="204">
        <v>0</v>
      </c>
      <c r="W32" s="205">
        <v>0</v>
      </c>
      <c r="X32" s="206">
        <v>0</v>
      </c>
      <c r="Y32" s="200"/>
      <c r="Z32" s="200"/>
      <c r="AA32" s="201">
        <v>0</v>
      </c>
      <c r="AB32" s="207"/>
      <c r="AC32" s="203"/>
      <c r="AD32" s="263"/>
      <c r="AE32" s="263"/>
      <c r="AF32" s="208">
        <v>0</v>
      </c>
      <c r="AG32" s="201">
        <v>0</v>
      </c>
      <c r="AH32" s="206">
        <v>0</v>
      </c>
      <c r="AI32" s="206">
        <v>0</v>
      </c>
      <c r="AJ32" s="209"/>
      <c r="AK32" s="202">
        <v>0</v>
      </c>
      <c r="AL32" s="200">
        <v>0</v>
      </c>
      <c r="AM32" s="200">
        <v>0</v>
      </c>
      <c r="AN32" s="200">
        <v>0</v>
      </c>
      <c r="AO32" s="200">
        <v>0</v>
      </c>
      <c r="AP32" s="208">
        <v>0</v>
      </c>
      <c r="AQ32" s="208"/>
      <c r="AR32" s="333">
        <v>0</v>
      </c>
      <c r="AS32" s="334">
        <v>0</v>
      </c>
    </row>
    <row r="33" spans="1:45" s="155" customFormat="1" ht="13.5" x14ac:dyDescent="0.2">
      <c r="A33" s="198" t="s">
        <v>121</v>
      </c>
      <c r="B33" s="199" t="s">
        <v>214</v>
      </c>
      <c r="C33" s="196"/>
      <c r="D33" s="200"/>
      <c r="E33" s="201">
        <v>0</v>
      </c>
      <c r="F33" s="202"/>
      <c r="G33" s="203"/>
      <c r="H33" s="202"/>
      <c r="I33" s="200"/>
      <c r="J33" s="200"/>
      <c r="K33" s="203"/>
      <c r="L33" s="200">
        <v>0</v>
      </c>
      <c r="M33" s="200">
        <v>0</v>
      </c>
      <c r="N33" s="200"/>
      <c r="O33" s="200"/>
      <c r="P33" s="204">
        <v>0</v>
      </c>
      <c r="Q33" s="202"/>
      <c r="R33" s="200"/>
      <c r="S33" s="200"/>
      <c r="T33" s="200"/>
      <c r="U33" s="200"/>
      <c r="V33" s="204">
        <v>0</v>
      </c>
      <c r="W33" s="205">
        <v>0</v>
      </c>
      <c r="X33" s="206">
        <v>3079</v>
      </c>
      <c r="Y33" s="200"/>
      <c r="Z33" s="200"/>
      <c r="AA33" s="201">
        <v>0</v>
      </c>
      <c r="AB33" s="207"/>
      <c r="AC33" s="203"/>
      <c r="AD33" s="263"/>
      <c r="AE33" s="263"/>
      <c r="AF33" s="208">
        <v>-1297</v>
      </c>
      <c r="AG33" s="201">
        <v>-1297</v>
      </c>
      <c r="AH33" s="206">
        <v>-968</v>
      </c>
      <c r="AI33" s="206">
        <v>0</v>
      </c>
      <c r="AJ33" s="209"/>
      <c r="AK33" s="202">
        <v>0</v>
      </c>
      <c r="AL33" s="200">
        <v>0</v>
      </c>
      <c r="AM33" s="200">
        <v>0</v>
      </c>
      <c r="AN33" s="200">
        <v>0</v>
      </c>
      <c r="AO33" s="200">
        <v>0</v>
      </c>
      <c r="AP33" s="208">
        <v>0</v>
      </c>
      <c r="AQ33" s="208"/>
      <c r="AR33" s="333">
        <v>0</v>
      </c>
      <c r="AS33" s="334">
        <v>814</v>
      </c>
    </row>
    <row r="34" spans="1:45" s="155" customFormat="1" ht="13.5" x14ac:dyDescent="0.2">
      <c r="A34" s="198" t="s">
        <v>107</v>
      </c>
      <c r="B34" s="199" t="s">
        <v>215</v>
      </c>
      <c r="C34" s="196"/>
      <c r="D34" s="200"/>
      <c r="E34" s="201">
        <v>0</v>
      </c>
      <c r="F34" s="202"/>
      <c r="G34" s="203"/>
      <c r="H34" s="202"/>
      <c r="I34" s="200"/>
      <c r="J34" s="200"/>
      <c r="K34" s="203"/>
      <c r="L34" s="200">
        <v>0</v>
      </c>
      <c r="M34" s="200">
        <v>0</v>
      </c>
      <c r="N34" s="200"/>
      <c r="O34" s="200"/>
      <c r="P34" s="204">
        <v>0</v>
      </c>
      <c r="Q34" s="202"/>
      <c r="R34" s="200"/>
      <c r="S34" s="200"/>
      <c r="T34" s="200"/>
      <c r="U34" s="200"/>
      <c r="V34" s="204">
        <v>0</v>
      </c>
      <c r="W34" s="205">
        <v>0</v>
      </c>
      <c r="X34" s="206">
        <v>0</v>
      </c>
      <c r="Y34" s="200"/>
      <c r="Z34" s="200"/>
      <c r="AA34" s="201">
        <v>0</v>
      </c>
      <c r="AB34" s="207"/>
      <c r="AC34" s="203"/>
      <c r="AD34" s="263"/>
      <c r="AE34" s="263"/>
      <c r="AF34" s="208">
        <v>0</v>
      </c>
      <c r="AG34" s="201">
        <v>0</v>
      </c>
      <c r="AH34" s="206">
        <v>0</v>
      </c>
      <c r="AI34" s="206">
        <v>0</v>
      </c>
      <c r="AJ34" s="209"/>
      <c r="AK34" s="202">
        <v>0</v>
      </c>
      <c r="AL34" s="200">
        <v>0</v>
      </c>
      <c r="AM34" s="200">
        <v>0</v>
      </c>
      <c r="AN34" s="200">
        <v>0</v>
      </c>
      <c r="AO34" s="200">
        <v>0</v>
      </c>
      <c r="AP34" s="208">
        <v>0</v>
      </c>
      <c r="AQ34" s="208"/>
      <c r="AR34" s="333">
        <v>0</v>
      </c>
      <c r="AS34" s="334">
        <v>0</v>
      </c>
    </row>
    <row r="35" spans="1:45" s="155" customFormat="1" ht="13.5" x14ac:dyDescent="0.2">
      <c r="A35" s="198" t="s">
        <v>56</v>
      </c>
      <c r="B35" s="199" t="s">
        <v>216</v>
      </c>
      <c r="C35" s="196"/>
      <c r="D35" s="200"/>
      <c r="E35" s="201">
        <v>0</v>
      </c>
      <c r="F35" s="202"/>
      <c r="G35" s="203"/>
      <c r="H35" s="202"/>
      <c r="I35" s="200"/>
      <c r="J35" s="200"/>
      <c r="K35" s="203"/>
      <c r="L35" s="200">
        <v>0</v>
      </c>
      <c r="M35" s="200">
        <v>0</v>
      </c>
      <c r="N35" s="200"/>
      <c r="O35" s="200"/>
      <c r="P35" s="204">
        <v>0</v>
      </c>
      <c r="Q35" s="202"/>
      <c r="R35" s="200"/>
      <c r="S35" s="200"/>
      <c r="T35" s="200"/>
      <c r="U35" s="200"/>
      <c r="V35" s="204">
        <v>0</v>
      </c>
      <c r="W35" s="205">
        <v>0</v>
      </c>
      <c r="X35" s="206">
        <v>0</v>
      </c>
      <c r="Y35" s="200"/>
      <c r="Z35" s="200"/>
      <c r="AA35" s="201">
        <v>0</v>
      </c>
      <c r="AB35" s="207"/>
      <c r="AC35" s="203"/>
      <c r="AD35" s="263"/>
      <c r="AE35" s="263"/>
      <c r="AF35" s="208">
        <v>0</v>
      </c>
      <c r="AG35" s="201">
        <v>0</v>
      </c>
      <c r="AH35" s="206">
        <v>0</v>
      </c>
      <c r="AI35" s="206">
        <v>0</v>
      </c>
      <c r="AJ35" s="209"/>
      <c r="AK35" s="202">
        <v>0</v>
      </c>
      <c r="AL35" s="200">
        <v>0</v>
      </c>
      <c r="AM35" s="200">
        <v>0</v>
      </c>
      <c r="AN35" s="200">
        <v>0</v>
      </c>
      <c r="AO35" s="200">
        <v>0</v>
      </c>
      <c r="AP35" s="208">
        <v>0</v>
      </c>
      <c r="AQ35" s="208"/>
      <c r="AR35" s="333">
        <v>0</v>
      </c>
      <c r="AS35" s="334">
        <v>0</v>
      </c>
    </row>
    <row r="36" spans="1:45" s="155" customFormat="1" ht="13.5" x14ac:dyDescent="0.2">
      <c r="A36" s="198" t="s">
        <v>57</v>
      </c>
      <c r="B36" s="199" t="s">
        <v>217</v>
      </c>
      <c r="C36" s="196"/>
      <c r="D36" s="200"/>
      <c r="E36" s="201">
        <v>0</v>
      </c>
      <c r="F36" s="202"/>
      <c r="G36" s="203"/>
      <c r="H36" s="202"/>
      <c r="I36" s="200"/>
      <c r="J36" s="200"/>
      <c r="K36" s="203"/>
      <c r="L36" s="200">
        <v>0</v>
      </c>
      <c r="M36" s="200">
        <v>0</v>
      </c>
      <c r="N36" s="200"/>
      <c r="O36" s="200"/>
      <c r="P36" s="204">
        <v>0</v>
      </c>
      <c r="Q36" s="202"/>
      <c r="R36" s="200"/>
      <c r="S36" s="200"/>
      <c r="T36" s="200"/>
      <c r="U36" s="200"/>
      <c r="V36" s="204">
        <v>0</v>
      </c>
      <c r="W36" s="205">
        <v>0</v>
      </c>
      <c r="X36" s="206">
        <v>7735</v>
      </c>
      <c r="Y36" s="200"/>
      <c r="Z36" s="200"/>
      <c r="AA36" s="201">
        <v>0</v>
      </c>
      <c r="AB36" s="207"/>
      <c r="AC36" s="203"/>
      <c r="AD36" s="263"/>
      <c r="AE36" s="263"/>
      <c r="AF36" s="208">
        <v>-2645</v>
      </c>
      <c r="AG36" s="201">
        <v>-2645</v>
      </c>
      <c r="AH36" s="206">
        <v>-2197</v>
      </c>
      <c r="AI36" s="206">
        <v>0</v>
      </c>
      <c r="AJ36" s="209"/>
      <c r="AK36" s="202">
        <v>0</v>
      </c>
      <c r="AL36" s="200">
        <v>0</v>
      </c>
      <c r="AM36" s="200">
        <v>0</v>
      </c>
      <c r="AN36" s="200">
        <v>0</v>
      </c>
      <c r="AO36" s="200">
        <v>0</v>
      </c>
      <c r="AP36" s="208">
        <v>0</v>
      </c>
      <c r="AQ36" s="208"/>
      <c r="AR36" s="333">
        <v>0</v>
      </c>
      <c r="AS36" s="334">
        <v>2893</v>
      </c>
    </row>
    <row r="37" spans="1:45" s="155" customFormat="1" ht="13.5" x14ac:dyDescent="0.2">
      <c r="A37" s="198" t="s">
        <v>58</v>
      </c>
      <c r="B37" s="199" t="s">
        <v>218</v>
      </c>
      <c r="C37" s="196"/>
      <c r="D37" s="200"/>
      <c r="E37" s="201">
        <v>0</v>
      </c>
      <c r="F37" s="202"/>
      <c r="G37" s="203"/>
      <c r="H37" s="202"/>
      <c r="I37" s="200"/>
      <c r="J37" s="200"/>
      <c r="K37" s="203"/>
      <c r="L37" s="200">
        <v>42</v>
      </c>
      <c r="M37" s="200">
        <v>9951</v>
      </c>
      <c r="N37" s="200"/>
      <c r="O37" s="200"/>
      <c r="P37" s="204">
        <v>9993</v>
      </c>
      <c r="Q37" s="202"/>
      <c r="R37" s="200"/>
      <c r="S37" s="200"/>
      <c r="T37" s="200"/>
      <c r="U37" s="200"/>
      <c r="V37" s="204">
        <v>0</v>
      </c>
      <c r="W37" s="205">
        <v>9993</v>
      </c>
      <c r="X37" s="206">
        <v>0</v>
      </c>
      <c r="Y37" s="200"/>
      <c r="Z37" s="200"/>
      <c r="AA37" s="201">
        <v>0</v>
      </c>
      <c r="AB37" s="207"/>
      <c r="AC37" s="203"/>
      <c r="AD37" s="263"/>
      <c r="AE37" s="263"/>
      <c r="AF37" s="208">
        <v>-6029</v>
      </c>
      <c r="AG37" s="201">
        <v>-6029</v>
      </c>
      <c r="AH37" s="206">
        <v>-11222</v>
      </c>
      <c r="AI37" s="206">
        <v>0</v>
      </c>
      <c r="AJ37" s="209"/>
      <c r="AK37" s="202">
        <v>18351</v>
      </c>
      <c r="AL37" s="200">
        <v>0</v>
      </c>
      <c r="AM37" s="200">
        <v>0</v>
      </c>
      <c r="AN37" s="200">
        <v>0</v>
      </c>
      <c r="AO37" s="200">
        <v>0</v>
      </c>
      <c r="AP37" s="208">
        <v>0</v>
      </c>
      <c r="AQ37" s="208"/>
      <c r="AR37" s="333">
        <v>18351</v>
      </c>
      <c r="AS37" s="334">
        <v>11093</v>
      </c>
    </row>
    <row r="38" spans="1:45" s="155" customFormat="1" ht="13.5" x14ac:dyDescent="0.2">
      <c r="A38" s="198" t="s">
        <v>59</v>
      </c>
      <c r="B38" s="199" t="s">
        <v>219</v>
      </c>
      <c r="C38" s="196"/>
      <c r="D38" s="200"/>
      <c r="E38" s="201">
        <v>0</v>
      </c>
      <c r="F38" s="202"/>
      <c r="G38" s="203"/>
      <c r="H38" s="202"/>
      <c r="I38" s="200"/>
      <c r="J38" s="200"/>
      <c r="K38" s="203"/>
      <c r="L38" s="200">
        <v>0</v>
      </c>
      <c r="M38" s="200">
        <v>0</v>
      </c>
      <c r="N38" s="200"/>
      <c r="O38" s="200"/>
      <c r="P38" s="204">
        <v>0</v>
      </c>
      <c r="Q38" s="202"/>
      <c r="R38" s="200"/>
      <c r="S38" s="200"/>
      <c r="T38" s="200"/>
      <c r="U38" s="200"/>
      <c r="V38" s="204">
        <v>0</v>
      </c>
      <c r="W38" s="205">
        <v>0</v>
      </c>
      <c r="X38" s="206">
        <v>15216</v>
      </c>
      <c r="Y38" s="200"/>
      <c r="Z38" s="200"/>
      <c r="AA38" s="201">
        <v>0</v>
      </c>
      <c r="AB38" s="207"/>
      <c r="AC38" s="203"/>
      <c r="AD38" s="263"/>
      <c r="AE38" s="263"/>
      <c r="AF38" s="208">
        <v>-4139</v>
      </c>
      <c r="AG38" s="201">
        <v>-4139</v>
      </c>
      <c r="AH38" s="206">
        <v>-10194</v>
      </c>
      <c r="AI38" s="206">
        <v>2730</v>
      </c>
      <c r="AJ38" s="209"/>
      <c r="AK38" s="202">
        <v>0</v>
      </c>
      <c r="AL38" s="200">
        <v>0</v>
      </c>
      <c r="AM38" s="200">
        <v>0</v>
      </c>
      <c r="AN38" s="200">
        <v>0</v>
      </c>
      <c r="AO38" s="200">
        <v>0</v>
      </c>
      <c r="AP38" s="208">
        <v>0</v>
      </c>
      <c r="AQ38" s="208"/>
      <c r="AR38" s="333">
        <v>0</v>
      </c>
      <c r="AS38" s="334">
        <v>3613</v>
      </c>
    </row>
    <row r="39" spans="1:45" s="155" customFormat="1" ht="13.5" x14ac:dyDescent="0.2">
      <c r="A39" s="198" t="s">
        <v>126</v>
      </c>
      <c r="B39" s="199" t="s">
        <v>220</v>
      </c>
      <c r="C39" s="196"/>
      <c r="D39" s="200"/>
      <c r="E39" s="201">
        <v>0</v>
      </c>
      <c r="F39" s="202"/>
      <c r="G39" s="203"/>
      <c r="H39" s="202"/>
      <c r="I39" s="200"/>
      <c r="J39" s="200"/>
      <c r="K39" s="203"/>
      <c r="L39" s="200">
        <v>0</v>
      </c>
      <c r="M39" s="200">
        <v>0</v>
      </c>
      <c r="N39" s="200"/>
      <c r="O39" s="200"/>
      <c r="P39" s="204">
        <v>0</v>
      </c>
      <c r="Q39" s="202"/>
      <c r="R39" s="200"/>
      <c r="S39" s="200"/>
      <c r="T39" s="200"/>
      <c r="U39" s="200"/>
      <c r="V39" s="204">
        <v>0</v>
      </c>
      <c r="W39" s="205">
        <v>0</v>
      </c>
      <c r="X39" s="206">
        <v>2864</v>
      </c>
      <c r="Y39" s="200"/>
      <c r="Z39" s="200"/>
      <c r="AA39" s="201">
        <v>0</v>
      </c>
      <c r="AB39" s="207"/>
      <c r="AC39" s="203"/>
      <c r="AD39" s="263"/>
      <c r="AE39" s="263"/>
      <c r="AF39" s="208">
        <v>-1253</v>
      </c>
      <c r="AG39" s="201">
        <v>-1253</v>
      </c>
      <c r="AH39" s="206">
        <v>-762</v>
      </c>
      <c r="AI39" s="206">
        <v>0</v>
      </c>
      <c r="AJ39" s="209"/>
      <c r="AK39" s="202">
        <v>0</v>
      </c>
      <c r="AL39" s="200">
        <v>0</v>
      </c>
      <c r="AM39" s="200">
        <v>0</v>
      </c>
      <c r="AN39" s="200">
        <v>0</v>
      </c>
      <c r="AO39" s="200">
        <v>0</v>
      </c>
      <c r="AP39" s="208">
        <v>0</v>
      </c>
      <c r="AQ39" s="208"/>
      <c r="AR39" s="333">
        <v>0</v>
      </c>
      <c r="AS39" s="334">
        <v>849</v>
      </c>
    </row>
    <row r="40" spans="1:45" s="155" customFormat="1" ht="13.5" x14ac:dyDescent="0.2">
      <c r="A40" s="198" t="s">
        <v>129</v>
      </c>
      <c r="B40" s="199" t="s">
        <v>221</v>
      </c>
      <c r="C40" s="196"/>
      <c r="D40" s="200"/>
      <c r="E40" s="201">
        <v>0</v>
      </c>
      <c r="F40" s="202"/>
      <c r="G40" s="203"/>
      <c r="H40" s="202"/>
      <c r="I40" s="200"/>
      <c r="J40" s="200"/>
      <c r="K40" s="203"/>
      <c r="L40" s="200">
        <v>0</v>
      </c>
      <c r="M40" s="200">
        <v>0</v>
      </c>
      <c r="N40" s="200"/>
      <c r="O40" s="200"/>
      <c r="P40" s="204">
        <v>0</v>
      </c>
      <c r="Q40" s="202"/>
      <c r="R40" s="200"/>
      <c r="S40" s="200"/>
      <c r="T40" s="200"/>
      <c r="U40" s="200"/>
      <c r="V40" s="204">
        <v>0</v>
      </c>
      <c r="W40" s="205">
        <v>0</v>
      </c>
      <c r="X40" s="206">
        <v>2306</v>
      </c>
      <c r="Y40" s="200"/>
      <c r="Z40" s="200"/>
      <c r="AA40" s="201">
        <v>0</v>
      </c>
      <c r="AB40" s="207"/>
      <c r="AC40" s="203"/>
      <c r="AD40" s="263"/>
      <c r="AE40" s="263"/>
      <c r="AF40" s="208">
        <v>-1660</v>
      </c>
      <c r="AG40" s="201">
        <v>-1660</v>
      </c>
      <c r="AH40" s="206">
        <v>-1089</v>
      </c>
      <c r="AI40" s="206">
        <v>0</v>
      </c>
      <c r="AJ40" s="209"/>
      <c r="AK40" s="202">
        <v>0</v>
      </c>
      <c r="AL40" s="200">
        <v>0</v>
      </c>
      <c r="AM40" s="200">
        <v>0</v>
      </c>
      <c r="AN40" s="200">
        <v>0</v>
      </c>
      <c r="AO40" s="200">
        <v>2385</v>
      </c>
      <c r="AP40" s="208">
        <v>0</v>
      </c>
      <c r="AQ40" s="208"/>
      <c r="AR40" s="333">
        <v>2385</v>
      </c>
      <c r="AS40" s="334">
        <v>1942</v>
      </c>
    </row>
    <row r="41" spans="1:45" s="155" customFormat="1" ht="13.5" x14ac:dyDescent="0.2">
      <c r="A41" s="198" t="s">
        <v>127</v>
      </c>
      <c r="B41" s="199" t="s">
        <v>222</v>
      </c>
      <c r="C41" s="196"/>
      <c r="D41" s="200"/>
      <c r="E41" s="201">
        <v>0</v>
      </c>
      <c r="F41" s="202"/>
      <c r="G41" s="203"/>
      <c r="H41" s="202"/>
      <c r="I41" s="200"/>
      <c r="J41" s="200"/>
      <c r="K41" s="203"/>
      <c r="L41" s="200">
        <v>0</v>
      </c>
      <c r="M41" s="200">
        <v>0</v>
      </c>
      <c r="N41" s="200"/>
      <c r="O41" s="200"/>
      <c r="P41" s="204">
        <v>0</v>
      </c>
      <c r="Q41" s="202"/>
      <c r="R41" s="200"/>
      <c r="S41" s="200"/>
      <c r="T41" s="200"/>
      <c r="U41" s="200"/>
      <c r="V41" s="204">
        <v>0</v>
      </c>
      <c r="W41" s="205">
        <v>0</v>
      </c>
      <c r="X41" s="206">
        <v>47615</v>
      </c>
      <c r="Y41" s="200"/>
      <c r="Z41" s="200"/>
      <c r="AA41" s="201">
        <v>0</v>
      </c>
      <c r="AB41" s="207"/>
      <c r="AC41" s="203"/>
      <c r="AD41" s="263"/>
      <c r="AE41" s="263"/>
      <c r="AF41" s="208">
        <v>-16815</v>
      </c>
      <c r="AG41" s="201">
        <v>-16815</v>
      </c>
      <c r="AH41" s="206">
        <v>-22800</v>
      </c>
      <c r="AI41" s="206">
        <v>0</v>
      </c>
      <c r="AJ41" s="209"/>
      <c r="AK41" s="202">
        <v>0</v>
      </c>
      <c r="AL41" s="200">
        <v>0</v>
      </c>
      <c r="AM41" s="200">
        <v>0</v>
      </c>
      <c r="AN41" s="200">
        <v>0</v>
      </c>
      <c r="AO41" s="200">
        <v>0</v>
      </c>
      <c r="AP41" s="208">
        <v>0</v>
      </c>
      <c r="AQ41" s="208"/>
      <c r="AR41" s="333">
        <v>0</v>
      </c>
      <c r="AS41" s="334">
        <v>8000</v>
      </c>
    </row>
    <row r="42" spans="1:45" s="155" customFormat="1" ht="13.5" x14ac:dyDescent="0.2">
      <c r="A42" s="198" t="s">
        <v>60</v>
      </c>
      <c r="B42" s="199" t="s">
        <v>223</v>
      </c>
      <c r="C42" s="196"/>
      <c r="D42" s="200"/>
      <c r="E42" s="201">
        <v>0</v>
      </c>
      <c r="F42" s="202"/>
      <c r="G42" s="203"/>
      <c r="H42" s="202"/>
      <c r="I42" s="200"/>
      <c r="J42" s="200"/>
      <c r="K42" s="203"/>
      <c r="L42" s="200">
        <v>0</v>
      </c>
      <c r="M42" s="200">
        <v>0</v>
      </c>
      <c r="N42" s="200"/>
      <c r="O42" s="200"/>
      <c r="P42" s="204">
        <v>0</v>
      </c>
      <c r="Q42" s="202"/>
      <c r="R42" s="200"/>
      <c r="S42" s="200"/>
      <c r="T42" s="200"/>
      <c r="U42" s="200"/>
      <c r="V42" s="204">
        <v>0</v>
      </c>
      <c r="W42" s="205">
        <v>0</v>
      </c>
      <c r="X42" s="206">
        <v>78980</v>
      </c>
      <c r="Y42" s="200"/>
      <c r="Z42" s="200"/>
      <c r="AA42" s="201">
        <v>0</v>
      </c>
      <c r="AB42" s="207"/>
      <c r="AC42" s="203"/>
      <c r="AD42" s="263"/>
      <c r="AE42" s="263"/>
      <c r="AF42" s="208">
        <v>-29860</v>
      </c>
      <c r="AG42" s="201">
        <v>-29860</v>
      </c>
      <c r="AH42" s="206">
        <v>-31081</v>
      </c>
      <c r="AI42" s="206">
        <v>0</v>
      </c>
      <c r="AJ42" s="209"/>
      <c r="AK42" s="202">
        <v>0</v>
      </c>
      <c r="AL42" s="200">
        <v>0</v>
      </c>
      <c r="AM42" s="200">
        <v>0</v>
      </c>
      <c r="AN42" s="200">
        <v>0</v>
      </c>
      <c r="AO42" s="200">
        <v>1131</v>
      </c>
      <c r="AP42" s="208">
        <v>0</v>
      </c>
      <c r="AQ42" s="208"/>
      <c r="AR42" s="333">
        <v>1131</v>
      </c>
      <c r="AS42" s="334">
        <v>19170</v>
      </c>
    </row>
    <row r="43" spans="1:45" s="155" customFormat="1" ht="13.5" x14ac:dyDescent="0.2">
      <c r="A43" s="192" t="s">
        <v>61</v>
      </c>
      <c r="B43" s="89" t="s">
        <v>62</v>
      </c>
      <c r="C43" s="90">
        <v>0</v>
      </c>
      <c r="D43" s="91">
        <v>0</v>
      </c>
      <c r="E43" s="92">
        <v>0</v>
      </c>
      <c r="F43" s="99">
        <v>3331</v>
      </c>
      <c r="G43" s="91">
        <v>551792</v>
      </c>
      <c r="H43" s="94">
        <v>5704</v>
      </c>
      <c r="I43" s="94">
        <v>0</v>
      </c>
      <c r="J43" s="94">
        <v>97</v>
      </c>
      <c r="K43" s="94">
        <v>0</v>
      </c>
      <c r="L43" s="94">
        <v>15</v>
      </c>
      <c r="M43" s="94">
        <v>97404</v>
      </c>
      <c r="N43" s="94">
        <v>1782</v>
      </c>
      <c r="O43" s="94">
        <v>0</v>
      </c>
      <c r="P43" s="95">
        <v>660125</v>
      </c>
      <c r="Q43" s="93">
        <v>1899</v>
      </c>
      <c r="R43" s="94">
        <v>-445</v>
      </c>
      <c r="S43" s="94">
        <v>116</v>
      </c>
      <c r="T43" s="94">
        <v>1</v>
      </c>
      <c r="U43" s="91">
        <v>18</v>
      </c>
      <c r="V43" s="96">
        <v>1589</v>
      </c>
      <c r="W43" s="97">
        <v>661714</v>
      </c>
      <c r="X43" s="98">
        <v>140769</v>
      </c>
      <c r="Y43" s="91"/>
      <c r="Z43" s="91">
        <v>0</v>
      </c>
      <c r="AA43" s="100">
        <v>0</v>
      </c>
      <c r="AB43" s="104">
        <v>0</v>
      </c>
      <c r="AC43" s="105">
        <v>0</v>
      </c>
      <c r="AD43" s="210"/>
      <c r="AE43" s="210"/>
      <c r="AF43" s="210">
        <v>0</v>
      </c>
      <c r="AG43" s="307">
        <v>729796</v>
      </c>
      <c r="AH43" s="98">
        <v>216984</v>
      </c>
      <c r="AI43" s="102">
        <v>0</v>
      </c>
      <c r="AJ43" s="90"/>
      <c r="AK43" s="99">
        <v>0</v>
      </c>
      <c r="AL43" s="91">
        <v>0</v>
      </c>
      <c r="AM43" s="91">
        <v>0</v>
      </c>
      <c r="AN43" s="91">
        <v>0</v>
      </c>
      <c r="AO43" s="91">
        <v>0</v>
      </c>
      <c r="AP43" s="91">
        <v>0</v>
      </c>
      <c r="AQ43" s="193">
        <v>0</v>
      </c>
      <c r="AR43" s="97">
        <v>0</v>
      </c>
      <c r="AS43" s="103">
        <v>1749263</v>
      </c>
    </row>
    <row r="44" spans="1:45" s="155" customFormat="1" ht="13.5" x14ac:dyDescent="0.2">
      <c r="A44" s="169" t="s">
        <v>63</v>
      </c>
      <c r="B44" s="170" t="s">
        <v>64</v>
      </c>
      <c r="C44" s="185"/>
      <c r="D44" s="181"/>
      <c r="E44" s="182"/>
      <c r="F44" s="174"/>
      <c r="G44" s="172">
        <v>525119</v>
      </c>
      <c r="H44" s="172">
        <v>5257</v>
      </c>
      <c r="I44" s="172">
        <v>0</v>
      </c>
      <c r="J44" s="172"/>
      <c r="K44" s="172">
        <v>0</v>
      </c>
      <c r="L44" s="172">
        <v>2</v>
      </c>
      <c r="M44" s="175">
        <v>97404</v>
      </c>
      <c r="N44" s="172">
        <v>0</v>
      </c>
      <c r="O44" s="172">
        <v>0</v>
      </c>
      <c r="P44" s="176">
        <v>627782</v>
      </c>
      <c r="Q44" s="172">
        <v>9</v>
      </c>
      <c r="R44" s="172">
        <v>0</v>
      </c>
      <c r="S44" s="172">
        <v>0</v>
      </c>
      <c r="T44" s="172">
        <v>0</v>
      </c>
      <c r="U44" s="172">
        <v>0</v>
      </c>
      <c r="V44" s="176">
        <v>9</v>
      </c>
      <c r="W44" s="178">
        <v>627791</v>
      </c>
      <c r="X44" s="179">
        <v>136666</v>
      </c>
      <c r="Y44" s="172"/>
      <c r="Z44" s="172"/>
      <c r="AA44" s="173">
        <v>0</v>
      </c>
      <c r="AB44" s="180"/>
      <c r="AC44" s="181"/>
      <c r="AD44" s="183"/>
      <c r="AE44" s="183"/>
      <c r="AF44" s="183"/>
      <c r="AG44" s="305">
        <v>66742</v>
      </c>
      <c r="AH44" s="179">
        <v>216984</v>
      </c>
      <c r="AI44" s="179"/>
      <c r="AJ44" s="171"/>
      <c r="AK44" s="174"/>
      <c r="AL44" s="172"/>
      <c r="AM44" s="172"/>
      <c r="AN44" s="172"/>
      <c r="AO44" s="172"/>
      <c r="AP44" s="186">
        <v>0</v>
      </c>
      <c r="AQ44" s="186"/>
      <c r="AR44" s="333">
        <v>0</v>
      </c>
      <c r="AS44" s="334">
        <v>1048183</v>
      </c>
    </row>
    <row r="45" spans="1:45" s="155" customFormat="1" ht="13.5" x14ac:dyDescent="0.2">
      <c r="A45" s="169" t="s">
        <v>65</v>
      </c>
      <c r="B45" s="170" t="s">
        <v>66</v>
      </c>
      <c r="C45" s="185"/>
      <c r="D45" s="181"/>
      <c r="E45" s="182"/>
      <c r="F45" s="174">
        <v>3331</v>
      </c>
      <c r="G45" s="174">
        <v>26673</v>
      </c>
      <c r="H45" s="175">
        <v>442</v>
      </c>
      <c r="I45" s="175">
        <v>0</v>
      </c>
      <c r="J45" s="175">
        <v>97</v>
      </c>
      <c r="K45" s="175">
        <v>0</v>
      </c>
      <c r="L45" s="175">
        <v>0</v>
      </c>
      <c r="M45" s="175">
        <v>0</v>
      </c>
      <c r="N45" s="175">
        <v>1782</v>
      </c>
      <c r="O45" s="175">
        <v>0</v>
      </c>
      <c r="P45" s="195">
        <v>32325</v>
      </c>
      <c r="Q45" s="177">
        <v>173</v>
      </c>
      <c r="R45" s="175">
        <v>-445</v>
      </c>
      <c r="S45" s="175">
        <v>116</v>
      </c>
      <c r="T45" s="175">
        <v>1</v>
      </c>
      <c r="U45" s="172"/>
      <c r="V45" s="195">
        <v>-155</v>
      </c>
      <c r="W45" s="178">
        <v>32170</v>
      </c>
      <c r="X45" s="179"/>
      <c r="Y45" s="172"/>
      <c r="Z45" s="172"/>
      <c r="AA45" s="173">
        <v>0</v>
      </c>
      <c r="AB45" s="180"/>
      <c r="AC45" s="181"/>
      <c r="AD45" s="183"/>
      <c r="AE45" s="183"/>
      <c r="AF45" s="183"/>
      <c r="AG45" s="182">
        <v>0</v>
      </c>
      <c r="AH45" s="179"/>
      <c r="AI45" s="179"/>
      <c r="AJ45" s="171"/>
      <c r="AK45" s="174"/>
      <c r="AL45" s="172"/>
      <c r="AM45" s="172"/>
      <c r="AN45" s="172"/>
      <c r="AO45" s="172"/>
      <c r="AP45" s="186">
        <v>0</v>
      </c>
      <c r="AQ45" s="186"/>
      <c r="AR45" s="333">
        <v>0</v>
      </c>
      <c r="AS45" s="334">
        <v>32170</v>
      </c>
    </row>
    <row r="46" spans="1:45" s="155" customFormat="1" ht="13.5" x14ac:dyDescent="0.2">
      <c r="A46" s="169" t="s">
        <v>100</v>
      </c>
      <c r="B46" s="170" t="s">
        <v>131</v>
      </c>
      <c r="C46" s="171"/>
      <c r="D46" s="172"/>
      <c r="E46" s="173"/>
      <c r="F46" s="174"/>
      <c r="G46" s="172"/>
      <c r="H46" s="172">
        <v>0</v>
      </c>
      <c r="I46" s="172">
        <v>0</v>
      </c>
      <c r="J46" s="172">
        <v>0</v>
      </c>
      <c r="K46" s="181">
        <v>0</v>
      </c>
      <c r="L46" s="172">
        <v>0</v>
      </c>
      <c r="M46" s="172">
        <v>0</v>
      </c>
      <c r="N46" s="172">
        <v>0</v>
      </c>
      <c r="O46" s="172">
        <v>0</v>
      </c>
      <c r="P46" s="176">
        <v>0</v>
      </c>
      <c r="Q46" s="174">
        <v>0</v>
      </c>
      <c r="R46" s="172">
        <v>0</v>
      </c>
      <c r="S46" s="172">
        <v>0</v>
      </c>
      <c r="T46" s="172">
        <v>0</v>
      </c>
      <c r="U46" s="172">
        <v>0</v>
      </c>
      <c r="V46" s="176">
        <v>0</v>
      </c>
      <c r="W46" s="178">
        <v>0</v>
      </c>
      <c r="X46" s="179"/>
      <c r="Y46" s="172"/>
      <c r="Z46" s="172"/>
      <c r="AA46" s="173">
        <v>0</v>
      </c>
      <c r="AB46" s="180"/>
      <c r="AC46" s="181"/>
      <c r="AD46" s="183"/>
      <c r="AE46" s="183"/>
      <c r="AF46" s="183"/>
      <c r="AG46" s="305">
        <v>0</v>
      </c>
      <c r="AH46" s="179"/>
      <c r="AI46" s="179"/>
      <c r="AJ46" s="171"/>
      <c r="AK46" s="174"/>
      <c r="AL46" s="172"/>
      <c r="AM46" s="172"/>
      <c r="AN46" s="172"/>
      <c r="AO46" s="172"/>
      <c r="AP46" s="186">
        <v>0</v>
      </c>
      <c r="AQ46" s="186"/>
      <c r="AR46" s="333">
        <v>0</v>
      </c>
      <c r="AS46" s="334">
        <v>0</v>
      </c>
    </row>
    <row r="47" spans="1:45" s="155" customFormat="1" ht="13.5" x14ac:dyDescent="0.2">
      <c r="A47" s="169" t="s">
        <v>128</v>
      </c>
      <c r="B47" s="170" t="s">
        <v>67</v>
      </c>
      <c r="C47" s="171"/>
      <c r="D47" s="172"/>
      <c r="E47" s="173"/>
      <c r="F47" s="174"/>
      <c r="G47" s="172"/>
      <c r="H47" s="172">
        <v>0</v>
      </c>
      <c r="I47" s="175">
        <v>0</v>
      </c>
      <c r="J47" s="175">
        <v>0</v>
      </c>
      <c r="K47" s="181">
        <v>0</v>
      </c>
      <c r="L47" s="172">
        <v>0</v>
      </c>
      <c r="M47" s="172">
        <v>0</v>
      </c>
      <c r="N47" s="172">
        <v>0</v>
      </c>
      <c r="O47" s="172">
        <v>0</v>
      </c>
      <c r="P47" s="176">
        <v>0</v>
      </c>
      <c r="Q47" s="177">
        <v>1717</v>
      </c>
      <c r="R47" s="175">
        <v>0</v>
      </c>
      <c r="S47" s="172">
        <v>0</v>
      </c>
      <c r="T47" s="172">
        <v>0</v>
      </c>
      <c r="U47" s="172">
        <v>0</v>
      </c>
      <c r="V47" s="176">
        <v>1717</v>
      </c>
      <c r="W47" s="178">
        <v>1717</v>
      </c>
      <c r="X47" s="179"/>
      <c r="Y47" s="172"/>
      <c r="Z47" s="172"/>
      <c r="AA47" s="173">
        <v>0</v>
      </c>
      <c r="AB47" s="180"/>
      <c r="AC47" s="181"/>
      <c r="AD47" s="183"/>
      <c r="AE47" s="183"/>
      <c r="AF47" s="183"/>
      <c r="AG47" s="305">
        <v>122546</v>
      </c>
      <c r="AH47" s="179"/>
      <c r="AI47" s="179"/>
      <c r="AJ47" s="171"/>
      <c r="AK47" s="174"/>
      <c r="AL47" s="172"/>
      <c r="AM47" s="172"/>
      <c r="AN47" s="172"/>
      <c r="AO47" s="172"/>
      <c r="AP47" s="186">
        <v>0</v>
      </c>
      <c r="AQ47" s="186"/>
      <c r="AR47" s="333">
        <v>0</v>
      </c>
      <c r="AS47" s="334">
        <v>124263</v>
      </c>
    </row>
    <row r="48" spans="1:45" s="155" customFormat="1" ht="13.5" x14ac:dyDescent="0.2">
      <c r="A48" s="169" t="s">
        <v>147</v>
      </c>
      <c r="B48" s="170" t="s">
        <v>68</v>
      </c>
      <c r="C48" s="185"/>
      <c r="D48" s="181"/>
      <c r="E48" s="182"/>
      <c r="F48" s="180"/>
      <c r="G48" s="181"/>
      <c r="H48" s="181"/>
      <c r="I48" s="181"/>
      <c r="J48" s="181"/>
      <c r="K48" s="181"/>
      <c r="L48" s="181">
        <v>0</v>
      </c>
      <c r="M48" s="181"/>
      <c r="N48" s="181"/>
      <c r="O48" s="181"/>
      <c r="P48" s="189">
        <v>0</v>
      </c>
      <c r="Q48" s="180">
        <v>0</v>
      </c>
      <c r="R48" s="181">
        <v>0</v>
      </c>
      <c r="S48" s="181">
        <v>0</v>
      </c>
      <c r="T48" s="181">
        <v>0</v>
      </c>
      <c r="U48" s="181">
        <v>0</v>
      </c>
      <c r="V48" s="189">
        <v>0</v>
      </c>
      <c r="W48" s="188">
        <v>0</v>
      </c>
      <c r="X48" s="184"/>
      <c r="Y48" s="181"/>
      <c r="Z48" s="181"/>
      <c r="AA48" s="182">
        <v>0</v>
      </c>
      <c r="AB48" s="180"/>
      <c r="AC48" s="181"/>
      <c r="AD48" s="183"/>
      <c r="AE48" s="183"/>
      <c r="AF48" s="183"/>
      <c r="AG48" s="305">
        <v>92953</v>
      </c>
      <c r="AH48" s="184"/>
      <c r="AI48" s="184"/>
      <c r="AJ48" s="185"/>
      <c r="AK48" s="180"/>
      <c r="AL48" s="181"/>
      <c r="AM48" s="181"/>
      <c r="AN48" s="181"/>
      <c r="AO48" s="181"/>
      <c r="AP48" s="183">
        <v>0</v>
      </c>
      <c r="AQ48" s="183"/>
      <c r="AR48" s="335">
        <v>0</v>
      </c>
      <c r="AS48" s="334">
        <v>92953</v>
      </c>
    </row>
    <row r="49" spans="1:45" s="155" customFormat="1" ht="13.5" x14ac:dyDescent="0.2">
      <c r="A49" s="169" t="s">
        <v>144</v>
      </c>
      <c r="B49" s="170" t="s">
        <v>69</v>
      </c>
      <c r="C49" s="171"/>
      <c r="D49" s="172"/>
      <c r="E49" s="173"/>
      <c r="F49" s="174"/>
      <c r="G49" s="172"/>
      <c r="H49" s="172">
        <v>0</v>
      </c>
      <c r="I49" s="172">
        <v>0</v>
      </c>
      <c r="J49" s="172">
        <v>0</v>
      </c>
      <c r="K49" s="181">
        <v>0</v>
      </c>
      <c r="L49" s="172">
        <v>0</v>
      </c>
      <c r="M49" s="172">
        <v>0</v>
      </c>
      <c r="N49" s="172">
        <v>0</v>
      </c>
      <c r="O49" s="172"/>
      <c r="P49" s="176">
        <v>0</v>
      </c>
      <c r="Q49" s="174">
        <v>0</v>
      </c>
      <c r="R49" s="172">
        <v>0</v>
      </c>
      <c r="S49" s="172">
        <v>0</v>
      </c>
      <c r="T49" s="172">
        <v>0</v>
      </c>
      <c r="U49" s="172">
        <v>0</v>
      </c>
      <c r="V49" s="176">
        <v>0</v>
      </c>
      <c r="W49" s="178">
        <v>0</v>
      </c>
      <c r="X49" s="179">
        <v>9</v>
      </c>
      <c r="Y49" s="172"/>
      <c r="Z49" s="172"/>
      <c r="AA49" s="173">
        <v>0</v>
      </c>
      <c r="AB49" s="180"/>
      <c r="AC49" s="181"/>
      <c r="AD49" s="183"/>
      <c r="AE49" s="183"/>
      <c r="AF49" s="183"/>
      <c r="AG49" s="173">
        <v>0</v>
      </c>
      <c r="AH49" s="179"/>
      <c r="AI49" s="179"/>
      <c r="AJ49" s="171"/>
      <c r="AK49" s="174"/>
      <c r="AL49" s="172"/>
      <c r="AM49" s="172"/>
      <c r="AN49" s="172"/>
      <c r="AO49" s="172"/>
      <c r="AP49" s="186">
        <v>0</v>
      </c>
      <c r="AQ49" s="186"/>
      <c r="AR49" s="333">
        <v>0</v>
      </c>
      <c r="AS49" s="334">
        <v>9</v>
      </c>
    </row>
    <row r="50" spans="1:45" s="155" customFormat="1" ht="13.5" x14ac:dyDescent="0.2">
      <c r="A50" s="211" t="s">
        <v>70</v>
      </c>
      <c r="B50" s="212" t="s">
        <v>132</v>
      </c>
      <c r="C50" s="213"/>
      <c r="D50" s="214"/>
      <c r="E50" s="215"/>
      <c r="F50" s="216"/>
      <c r="G50" s="214"/>
      <c r="H50" s="214">
        <v>5</v>
      </c>
      <c r="I50" s="214">
        <v>0</v>
      </c>
      <c r="J50" s="214">
        <v>0</v>
      </c>
      <c r="K50" s="214">
        <v>0</v>
      </c>
      <c r="L50" s="214">
        <v>13</v>
      </c>
      <c r="M50" s="214">
        <v>0</v>
      </c>
      <c r="N50" s="214">
        <v>0</v>
      </c>
      <c r="O50" s="214">
        <v>0</v>
      </c>
      <c r="P50" s="217">
        <v>18</v>
      </c>
      <c r="Q50" s="214">
        <v>0</v>
      </c>
      <c r="R50" s="214">
        <v>0</v>
      </c>
      <c r="S50" s="214">
        <v>0</v>
      </c>
      <c r="T50" s="214">
        <v>0</v>
      </c>
      <c r="U50" s="214">
        <v>18</v>
      </c>
      <c r="V50" s="217">
        <v>18</v>
      </c>
      <c r="W50" s="218">
        <v>36</v>
      </c>
      <c r="X50" s="219">
        <v>4093</v>
      </c>
      <c r="Y50" s="214"/>
      <c r="Z50" s="214"/>
      <c r="AA50" s="215">
        <v>0</v>
      </c>
      <c r="AB50" s="220"/>
      <c r="AC50" s="221"/>
      <c r="AD50" s="222"/>
      <c r="AE50" s="222"/>
      <c r="AF50" s="222"/>
      <c r="AG50" s="215">
        <v>447555</v>
      </c>
      <c r="AH50" s="219"/>
      <c r="AI50" s="219"/>
      <c r="AJ50" s="213"/>
      <c r="AK50" s="216"/>
      <c r="AL50" s="214"/>
      <c r="AM50" s="214"/>
      <c r="AN50" s="214"/>
      <c r="AO50" s="214"/>
      <c r="AP50" s="223">
        <v>0</v>
      </c>
      <c r="AQ50" s="223"/>
      <c r="AR50" s="337">
        <v>0</v>
      </c>
      <c r="AS50" s="338">
        <v>451684</v>
      </c>
    </row>
    <row r="51" spans="1:45" s="155" customFormat="1" ht="13.5" x14ac:dyDescent="0.2">
      <c r="A51" s="224" t="s">
        <v>71</v>
      </c>
      <c r="B51" s="73" t="s">
        <v>73</v>
      </c>
      <c r="C51" s="213"/>
      <c r="D51" s="214"/>
      <c r="E51" s="215"/>
      <c r="F51" s="216"/>
      <c r="G51" s="214"/>
      <c r="H51" s="172">
        <v>494566</v>
      </c>
      <c r="I51" s="172"/>
      <c r="J51" s="172"/>
      <c r="K51" s="172"/>
      <c r="L51" s="172"/>
      <c r="M51" s="172">
        <v>0</v>
      </c>
      <c r="N51" s="172">
        <v>710134</v>
      </c>
      <c r="O51" s="172"/>
      <c r="P51" s="176">
        <v>1204700</v>
      </c>
      <c r="Q51" s="174">
        <v>0</v>
      </c>
      <c r="R51" s="172">
        <v>0</v>
      </c>
      <c r="S51" s="172"/>
      <c r="T51" s="172"/>
      <c r="U51" s="214"/>
      <c r="V51" s="176">
        <v>0</v>
      </c>
      <c r="W51" s="178">
        <v>1204700</v>
      </c>
      <c r="X51" s="219">
        <v>51304</v>
      </c>
      <c r="Y51" s="214"/>
      <c r="Z51" s="214"/>
      <c r="AA51" s="215">
        <v>0</v>
      </c>
      <c r="AB51" s="220"/>
      <c r="AC51" s="221"/>
      <c r="AD51" s="222"/>
      <c r="AE51" s="222"/>
      <c r="AF51" s="222"/>
      <c r="AG51" s="222"/>
      <c r="AH51" s="313"/>
      <c r="AI51" s="219"/>
      <c r="AJ51" s="213"/>
      <c r="AK51" s="216"/>
      <c r="AL51" s="214"/>
      <c r="AM51" s="214"/>
      <c r="AN51" s="214"/>
      <c r="AO51" s="214"/>
      <c r="AP51" s="223">
        <v>0</v>
      </c>
      <c r="AQ51" s="223"/>
      <c r="AR51" s="337">
        <v>0</v>
      </c>
      <c r="AS51" s="338">
        <v>1256004</v>
      </c>
    </row>
    <row r="52" spans="1:45" s="155" customFormat="1" ht="13.5" x14ac:dyDescent="0.2">
      <c r="A52" s="190" t="s">
        <v>72</v>
      </c>
      <c r="B52" s="112" t="s">
        <v>75</v>
      </c>
      <c r="C52" s="74">
        <v>6152</v>
      </c>
      <c r="D52" s="75">
        <v>6121</v>
      </c>
      <c r="E52" s="106">
        <v>12273</v>
      </c>
      <c r="F52" s="83"/>
      <c r="G52" s="75">
        <v>0</v>
      </c>
      <c r="H52" s="75">
        <v>570300</v>
      </c>
      <c r="I52" s="75">
        <v>1135903</v>
      </c>
      <c r="J52" s="75">
        <v>1112</v>
      </c>
      <c r="K52" s="75">
        <v>153800</v>
      </c>
      <c r="L52" s="75">
        <v>4713290</v>
      </c>
      <c r="M52" s="75">
        <v>140476</v>
      </c>
      <c r="N52" s="75">
        <v>0</v>
      </c>
      <c r="O52" s="76">
        <v>386763</v>
      </c>
      <c r="P52" s="79">
        <v>7101644</v>
      </c>
      <c r="Q52" s="78">
        <v>47124</v>
      </c>
      <c r="R52" s="75">
        <v>131178</v>
      </c>
      <c r="S52" s="75">
        <v>9544</v>
      </c>
      <c r="T52" s="75">
        <v>2624</v>
      </c>
      <c r="U52" s="75">
        <v>20491</v>
      </c>
      <c r="V52" s="80">
        <v>210961</v>
      </c>
      <c r="W52" s="107">
        <v>7312055</v>
      </c>
      <c r="X52" s="108">
        <v>1466290</v>
      </c>
      <c r="Y52" s="75">
        <v>0</v>
      </c>
      <c r="Z52" s="75">
        <v>0</v>
      </c>
      <c r="AA52" s="84">
        <v>0</v>
      </c>
      <c r="AB52" s="220"/>
      <c r="AC52" s="221"/>
      <c r="AD52" s="222"/>
      <c r="AE52" s="222"/>
      <c r="AF52" s="222"/>
      <c r="AG52" s="308">
        <v>3888848</v>
      </c>
      <c r="AH52" s="108">
        <v>1226407</v>
      </c>
      <c r="AI52" s="110">
        <v>85437</v>
      </c>
      <c r="AJ52" s="78">
        <v>77086</v>
      </c>
      <c r="AK52" s="78">
        <v>921193</v>
      </c>
      <c r="AL52" s="85">
        <v>0</v>
      </c>
      <c r="AM52" s="85">
        <v>0</v>
      </c>
      <c r="AN52" s="75">
        <v>51840</v>
      </c>
      <c r="AO52" s="76">
        <v>8452</v>
      </c>
      <c r="AP52" s="76">
        <v>5309</v>
      </c>
      <c r="AQ52" s="325">
        <v>595049</v>
      </c>
      <c r="AR52" s="107">
        <v>1658929</v>
      </c>
      <c r="AS52" s="111">
        <v>15650239</v>
      </c>
    </row>
    <row r="53" spans="1:45" s="155" customFormat="1" ht="13.5" x14ac:dyDescent="0.2">
      <c r="A53" s="225" t="s">
        <v>74</v>
      </c>
      <c r="B53" s="112"/>
      <c r="C53" s="113">
        <v>267</v>
      </c>
      <c r="D53" s="76">
        <v>118</v>
      </c>
      <c r="E53" s="84">
        <v>385</v>
      </c>
      <c r="F53" s="83"/>
      <c r="G53" s="76">
        <v>0</v>
      </c>
      <c r="H53" s="76">
        <v>-20735</v>
      </c>
      <c r="I53" s="76">
        <v>-13027</v>
      </c>
      <c r="J53" s="76">
        <v>224</v>
      </c>
      <c r="K53" s="76">
        <v>17335</v>
      </c>
      <c r="L53" s="76">
        <v>22549</v>
      </c>
      <c r="M53" s="76">
        <v>-19444</v>
      </c>
      <c r="N53" s="76">
        <v>0</v>
      </c>
      <c r="O53" s="76">
        <v>2436</v>
      </c>
      <c r="P53" s="114">
        <v>-10662</v>
      </c>
      <c r="Q53" s="83">
        <v>45</v>
      </c>
      <c r="R53" s="76">
        <v>-313</v>
      </c>
      <c r="S53" s="76">
        <v>-318</v>
      </c>
      <c r="T53" s="76">
        <v>-467</v>
      </c>
      <c r="U53" s="76">
        <v>220</v>
      </c>
      <c r="V53" s="114">
        <v>-833</v>
      </c>
      <c r="W53" s="115">
        <v>-12045</v>
      </c>
      <c r="X53" s="110">
        <v>-9891</v>
      </c>
      <c r="Y53" s="76">
        <v>0</v>
      </c>
      <c r="Z53" s="76">
        <v>0</v>
      </c>
      <c r="AA53" s="84">
        <v>0</v>
      </c>
      <c r="AB53" s="109"/>
      <c r="AC53" s="85"/>
      <c r="AD53" s="191"/>
      <c r="AE53" s="191"/>
      <c r="AF53" s="191"/>
      <c r="AG53" s="84">
        <v>21</v>
      </c>
      <c r="AH53" s="110">
        <v>0</v>
      </c>
      <c r="AI53" s="110">
        <v>0</v>
      </c>
      <c r="AJ53" s="78">
        <v>0</v>
      </c>
      <c r="AK53" s="78">
        <v>0</v>
      </c>
      <c r="AL53" s="85">
        <v>0</v>
      </c>
      <c r="AM53" s="85">
        <v>0</v>
      </c>
      <c r="AN53" s="76">
        <v>0</v>
      </c>
      <c r="AO53" s="76">
        <v>0</v>
      </c>
      <c r="AP53" s="76">
        <v>-11</v>
      </c>
      <c r="AQ53" s="325">
        <v>0</v>
      </c>
      <c r="AR53" s="115">
        <v>-11</v>
      </c>
      <c r="AS53" s="116">
        <v>-21541</v>
      </c>
    </row>
    <row r="54" spans="1:45" s="155" customFormat="1" ht="13.5" x14ac:dyDescent="0.2">
      <c r="A54" s="226" t="s">
        <v>76</v>
      </c>
      <c r="B54" s="112" t="s">
        <v>77</v>
      </c>
      <c r="C54" s="113">
        <v>5885</v>
      </c>
      <c r="D54" s="76">
        <v>6003</v>
      </c>
      <c r="E54" s="106">
        <v>11888</v>
      </c>
      <c r="F54" s="109">
        <v>0</v>
      </c>
      <c r="G54" s="85">
        <v>0</v>
      </c>
      <c r="H54" s="76">
        <v>591035</v>
      </c>
      <c r="I54" s="76">
        <v>1148930</v>
      </c>
      <c r="J54" s="76">
        <v>888</v>
      </c>
      <c r="K54" s="76">
        <v>136465</v>
      </c>
      <c r="L54" s="76">
        <v>4690741</v>
      </c>
      <c r="M54" s="76">
        <v>159920</v>
      </c>
      <c r="N54" s="76">
        <v>0</v>
      </c>
      <c r="O54" s="76">
        <v>384327</v>
      </c>
      <c r="P54" s="80">
        <v>7112306</v>
      </c>
      <c r="Q54" s="83">
        <v>47079</v>
      </c>
      <c r="R54" s="76">
        <v>131491</v>
      </c>
      <c r="S54" s="76">
        <v>9862</v>
      </c>
      <c r="T54" s="76">
        <v>3091</v>
      </c>
      <c r="U54" s="76">
        <v>20271</v>
      </c>
      <c r="V54" s="80">
        <v>211794</v>
      </c>
      <c r="W54" s="107">
        <v>7324100</v>
      </c>
      <c r="X54" s="108">
        <v>1476181</v>
      </c>
      <c r="Y54" s="76">
        <v>0</v>
      </c>
      <c r="Z54" s="75">
        <v>0</v>
      </c>
      <c r="AA54" s="117">
        <v>0</v>
      </c>
      <c r="AB54" s="109">
        <v>0</v>
      </c>
      <c r="AC54" s="85">
        <v>0</v>
      </c>
      <c r="AD54" s="191"/>
      <c r="AE54" s="191"/>
      <c r="AF54" s="191">
        <v>0</v>
      </c>
      <c r="AG54" s="106">
        <v>3888827</v>
      </c>
      <c r="AH54" s="108">
        <v>1226407</v>
      </c>
      <c r="AI54" s="110">
        <v>85437</v>
      </c>
      <c r="AJ54" s="83">
        <v>77086</v>
      </c>
      <c r="AK54" s="83">
        <v>921193</v>
      </c>
      <c r="AL54" s="85">
        <v>0</v>
      </c>
      <c r="AM54" s="85">
        <v>0</v>
      </c>
      <c r="AN54" s="76">
        <v>51840</v>
      </c>
      <c r="AO54" s="76">
        <v>8452</v>
      </c>
      <c r="AP54" s="76">
        <v>5320</v>
      </c>
      <c r="AQ54" s="325">
        <v>595049</v>
      </c>
      <c r="AR54" s="107">
        <v>1658940</v>
      </c>
      <c r="AS54" s="111">
        <v>15671780</v>
      </c>
    </row>
    <row r="55" spans="1:45" s="155" customFormat="1" ht="13.5" x14ac:dyDescent="0.2">
      <c r="A55" s="192" t="s">
        <v>78</v>
      </c>
      <c r="B55" s="89" t="s">
        <v>224</v>
      </c>
      <c r="C55" s="90">
        <v>0</v>
      </c>
      <c r="D55" s="91">
        <v>0</v>
      </c>
      <c r="E55" s="92">
        <v>0</v>
      </c>
      <c r="F55" s="104">
        <v>0</v>
      </c>
      <c r="G55" s="105">
        <v>0</v>
      </c>
      <c r="H55" s="91">
        <v>4642</v>
      </c>
      <c r="I55" s="91">
        <v>480</v>
      </c>
      <c r="J55" s="91">
        <v>592</v>
      </c>
      <c r="K55" s="105">
        <v>0</v>
      </c>
      <c r="L55" s="91">
        <v>336186</v>
      </c>
      <c r="M55" s="91">
        <v>3933</v>
      </c>
      <c r="N55" s="91">
        <v>0</v>
      </c>
      <c r="O55" s="91">
        <v>0</v>
      </c>
      <c r="P55" s="96">
        <v>345833</v>
      </c>
      <c r="Q55" s="99">
        <v>332</v>
      </c>
      <c r="R55" s="91">
        <v>0</v>
      </c>
      <c r="S55" s="91">
        <v>0</v>
      </c>
      <c r="T55" s="91">
        <v>0</v>
      </c>
      <c r="U55" s="91">
        <v>0</v>
      </c>
      <c r="V55" s="96">
        <v>332</v>
      </c>
      <c r="W55" s="97">
        <v>346165</v>
      </c>
      <c r="X55" s="102">
        <v>4754</v>
      </c>
      <c r="Y55" s="101"/>
      <c r="Z55" s="101">
        <v>0</v>
      </c>
      <c r="AA55" s="118">
        <v>0</v>
      </c>
      <c r="AB55" s="104"/>
      <c r="AC55" s="105"/>
      <c r="AD55" s="210"/>
      <c r="AE55" s="210"/>
      <c r="AF55" s="210"/>
      <c r="AG55" s="92">
        <v>71250</v>
      </c>
      <c r="AH55" s="98">
        <v>1203</v>
      </c>
      <c r="AI55" s="119">
        <v>0</v>
      </c>
      <c r="AJ55" s="227">
        <v>0</v>
      </c>
      <c r="AK55" s="99">
        <v>4834</v>
      </c>
      <c r="AL55" s="105">
        <v>0</v>
      </c>
      <c r="AM55" s="105">
        <v>0</v>
      </c>
      <c r="AN55" s="91">
        <v>0</v>
      </c>
      <c r="AO55" s="91">
        <v>0</v>
      </c>
      <c r="AP55" s="120">
        <v>0</v>
      </c>
      <c r="AQ55" s="326"/>
      <c r="AR55" s="339">
        <v>4834</v>
      </c>
      <c r="AS55" s="103">
        <v>428206</v>
      </c>
    </row>
    <row r="56" spans="1:45" s="155" customFormat="1" ht="13.5" x14ac:dyDescent="0.2">
      <c r="A56" s="169" t="s">
        <v>51</v>
      </c>
      <c r="B56" s="170" t="s">
        <v>225</v>
      </c>
      <c r="C56" s="171"/>
      <c r="D56" s="172"/>
      <c r="E56" s="173">
        <v>0</v>
      </c>
      <c r="F56" s="180"/>
      <c r="G56" s="181"/>
      <c r="H56" s="172">
        <v>4642</v>
      </c>
      <c r="I56" s="172">
        <v>353</v>
      </c>
      <c r="J56" s="172">
        <v>592</v>
      </c>
      <c r="K56" s="181">
        <v>0</v>
      </c>
      <c r="L56" s="172">
        <v>254266</v>
      </c>
      <c r="M56" s="172">
        <v>861</v>
      </c>
      <c r="N56" s="172">
        <v>0</v>
      </c>
      <c r="O56" s="172"/>
      <c r="P56" s="176">
        <v>260714</v>
      </c>
      <c r="Q56" s="174">
        <v>112</v>
      </c>
      <c r="R56" s="172">
        <v>0</v>
      </c>
      <c r="S56" s="172">
        <v>0</v>
      </c>
      <c r="T56" s="172">
        <v>0</v>
      </c>
      <c r="U56" s="172">
        <v>0</v>
      </c>
      <c r="V56" s="176">
        <v>112</v>
      </c>
      <c r="W56" s="178">
        <v>260826</v>
      </c>
      <c r="X56" s="179">
        <v>4187</v>
      </c>
      <c r="Y56" s="228"/>
      <c r="Z56" s="228"/>
      <c r="AA56" s="229">
        <v>0</v>
      </c>
      <c r="AB56" s="180"/>
      <c r="AC56" s="181"/>
      <c r="AD56" s="183"/>
      <c r="AE56" s="183"/>
      <c r="AF56" s="183"/>
      <c r="AG56" s="173">
        <v>65497</v>
      </c>
      <c r="AH56" s="179">
        <v>1203</v>
      </c>
      <c r="AI56" s="230">
        <v>0</v>
      </c>
      <c r="AJ56" s="231"/>
      <c r="AK56" s="174">
        <v>4834</v>
      </c>
      <c r="AL56" s="181"/>
      <c r="AM56" s="181"/>
      <c r="AN56" s="172"/>
      <c r="AO56" s="172"/>
      <c r="AP56" s="172">
        <v>0</v>
      </c>
      <c r="AQ56" s="186"/>
      <c r="AR56" s="340">
        <v>4834</v>
      </c>
      <c r="AS56" s="334">
        <v>336547</v>
      </c>
    </row>
    <row r="57" spans="1:45" s="155" customFormat="1" ht="13.5" x14ac:dyDescent="0.2">
      <c r="A57" s="169" t="s">
        <v>79</v>
      </c>
      <c r="B57" s="170" t="s">
        <v>226</v>
      </c>
      <c r="C57" s="171"/>
      <c r="D57" s="172"/>
      <c r="E57" s="173">
        <v>0</v>
      </c>
      <c r="F57" s="180"/>
      <c r="G57" s="181"/>
      <c r="H57" s="172">
        <v>0</v>
      </c>
      <c r="I57" s="172">
        <v>127</v>
      </c>
      <c r="J57" s="172">
        <v>0</v>
      </c>
      <c r="K57" s="181">
        <v>0</v>
      </c>
      <c r="L57" s="172">
        <v>81920</v>
      </c>
      <c r="M57" s="172">
        <v>3072</v>
      </c>
      <c r="N57" s="172">
        <v>0</v>
      </c>
      <c r="O57" s="172"/>
      <c r="P57" s="176">
        <v>85119</v>
      </c>
      <c r="Q57" s="174">
        <v>220</v>
      </c>
      <c r="R57" s="172">
        <v>0</v>
      </c>
      <c r="S57" s="172">
        <v>0</v>
      </c>
      <c r="T57" s="172">
        <v>0</v>
      </c>
      <c r="U57" s="172">
        <v>0</v>
      </c>
      <c r="V57" s="176">
        <v>220</v>
      </c>
      <c r="W57" s="178">
        <v>85339</v>
      </c>
      <c r="X57" s="179">
        <v>567</v>
      </c>
      <c r="Y57" s="228"/>
      <c r="Z57" s="228"/>
      <c r="AA57" s="229">
        <v>0</v>
      </c>
      <c r="AB57" s="180"/>
      <c r="AC57" s="181"/>
      <c r="AD57" s="183"/>
      <c r="AE57" s="183"/>
      <c r="AF57" s="183"/>
      <c r="AG57" s="173">
        <v>5753</v>
      </c>
      <c r="AH57" s="179"/>
      <c r="AI57" s="230"/>
      <c r="AJ57" s="231"/>
      <c r="AK57" s="174">
        <v>0</v>
      </c>
      <c r="AL57" s="181"/>
      <c r="AM57" s="181"/>
      <c r="AN57" s="172"/>
      <c r="AO57" s="172"/>
      <c r="AP57" s="172">
        <v>0</v>
      </c>
      <c r="AQ57" s="186"/>
      <c r="AR57" s="340">
        <v>0</v>
      </c>
      <c r="AS57" s="334">
        <v>91659</v>
      </c>
    </row>
    <row r="58" spans="1:45" s="155" customFormat="1" ht="13.5" x14ac:dyDescent="0.2">
      <c r="A58" s="226" t="s">
        <v>117</v>
      </c>
      <c r="B58" s="112" t="s">
        <v>227</v>
      </c>
      <c r="C58" s="113">
        <v>16</v>
      </c>
      <c r="D58" s="76">
        <v>0</v>
      </c>
      <c r="E58" s="106">
        <v>16</v>
      </c>
      <c r="F58" s="109"/>
      <c r="G58" s="85"/>
      <c r="H58" s="76">
        <v>1128</v>
      </c>
      <c r="I58" s="76">
        <v>0</v>
      </c>
      <c r="J58" s="76">
        <v>0</v>
      </c>
      <c r="K58" s="85">
        <v>0</v>
      </c>
      <c r="L58" s="76">
        <v>29017</v>
      </c>
      <c r="M58" s="76">
        <v>433</v>
      </c>
      <c r="N58" s="76">
        <v>0</v>
      </c>
      <c r="O58" s="76">
        <v>0</v>
      </c>
      <c r="P58" s="80">
        <v>30578</v>
      </c>
      <c r="Q58" s="83">
        <v>1428</v>
      </c>
      <c r="R58" s="76">
        <v>0</v>
      </c>
      <c r="S58" s="76">
        <v>0</v>
      </c>
      <c r="T58" s="76">
        <v>0</v>
      </c>
      <c r="U58" s="76"/>
      <c r="V58" s="80">
        <v>1428</v>
      </c>
      <c r="W58" s="107">
        <v>32006</v>
      </c>
      <c r="X58" s="108">
        <v>4142</v>
      </c>
      <c r="Y58" s="75"/>
      <c r="Z58" s="75"/>
      <c r="AA58" s="117">
        <v>0</v>
      </c>
      <c r="AB58" s="109"/>
      <c r="AC58" s="85"/>
      <c r="AD58" s="191"/>
      <c r="AE58" s="191"/>
      <c r="AF58" s="191"/>
      <c r="AG58" s="106">
        <v>38473</v>
      </c>
      <c r="AH58" s="108">
        <v>22800</v>
      </c>
      <c r="AI58" s="87">
        <v>0</v>
      </c>
      <c r="AJ58" s="74"/>
      <c r="AK58" s="83"/>
      <c r="AL58" s="85"/>
      <c r="AM58" s="85"/>
      <c r="AN58" s="76"/>
      <c r="AO58" s="76"/>
      <c r="AP58" s="76">
        <v>0</v>
      </c>
      <c r="AQ58" s="325"/>
      <c r="AR58" s="107">
        <v>0</v>
      </c>
      <c r="AS58" s="111">
        <v>97437</v>
      </c>
    </row>
    <row r="59" spans="1:45" s="155" customFormat="1" ht="13.5" x14ac:dyDescent="0.2">
      <c r="A59" s="232" t="s">
        <v>80</v>
      </c>
      <c r="B59" s="122" t="s">
        <v>228</v>
      </c>
      <c r="C59" s="123">
        <v>5869</v>
      </c>
      <c r="D59" s="124">
        <v>6003</v>
      </c>
      <c r="E59" s="125">
        <v>11872</v>
      </c>
      <c r="F59" s="126">
        <v>0</v>
      </c>
      <c r="G59" s="127">
        <v>0</v>
      </c>
      <c r="H59" s="124">
        <v>55614</v>
      </c>
      <c r="I59" s="124">
        <v>18</v>
      </c>
      <c r="J59" s="124">
        <v>26</v>
      </c>
      <c r="K59" s="127">
        <v>0</v>
      </c>
      <c r="L59" s="124">
        <v>86850</v>
      </c>
      <c r="M59" s="124">
        <v>67668</v>
      </c>
      <c r="N59" s="124">
        <v>0</v>
      </c>
      <c r="O59" s="124">
        <v>384327</v>
      </c>
      <c r="P59" s="128">
        <v>594503</v>
      </c>
      <c r="Q59" s="129">
        <v>9745</v>
      </c>
      <c r="R59" s="124">
        <v>401</v>
      </c>
      <c r="S59" s="124">
        <v>9862</v>
      </c>
      <c r="T59" s="124">
        <v>2099</v>
      </c>
      <c r="U59" s="124">
        <v>20271</v>
      </c>
      <c r="V59" s="128">
        <v>42378</v>
      </c>
      <c r="W59" s="130">
        <v>636881</v>
      </c>
      <c r="X59" s="131">
        <v>967626</v>
      </c>
      <c r="Y59" s="132">
        <v>0</v>
      </c>
      <c r="Z59" s="132">
        <v>0</v>
      </c>
      <c r="AA59" s="133">
        <v>0</v>
      </c>
      <c r="AB59" s="126">
        <v>0</v>
      </c>
      <c r="AC59" s="127">
        <v>0</v>
      </c>
      <c r="AD59" s="233"/>
      <c r="AE59" s="233"/>
      <c r="AF59" s="233">
        <v>0</v>
      </c>
      <c r="AG59" s="125">
        <v>1249974</v>
      </c>
      <c r="AH59" s="131">
        <v>1171507</v>
      </c>
      <c r="AI59" s="131">
        <v>85437</v>
      </c>
      <c r="AJ59" s="234">
        <v>0</v>
      </c>
      <c r="AK59" s="234">
        <v>107378</v>
      </c>
      <c r="AL59" s="105">
        <v>0</v>
      </c>
      <c r="AM59" s="105">
        <v>0</v>
      </c>
      <c r="AN59" s="120">
        <v>50517</v>
      </c>
      <c r="AO59" s="91">
        <v>8452</v>
      </c>
      <c r="AP59" s="135">
        <v>455</v>
      </c>
      <c r="AQ59" s="327"/>
      <c r="AR59" s="341">
        <v>166802</v>
      </c>
      <c r="AS59" s="136">
        <v>4290099</v>
      </c>
    </row>
    <row r="60" spans="1:45" s="155" customFormat="1" ht="13.5" x14ac:dyDescent="0.2">
      <c r="A60" s="169" t="s">
        <v>105</v>
      </c>
      <c r="B60" s="170" t="s">
        <v>229</v>
      </c>
      <c r="C60" s="194">
        <v>0</v>
      </c>
      <c r="D60" s="172">
        <v>0</v>
      </c>
      <c r="E60" s="173">
        <v>0</v>
      </c>
      <c r="F60" s="180"/>
      <c r="G60" s="181"/>
      <c r="H60" s="172">
        <v>20297</v>
      </c>
      <c r="I60" s="172">
        <v>0</v>
      </c>
      <c r="J60" s="172">
        <v>1</v>
      </c>
      <c r="K60" s="181">
        <v>0</v>
      </c>
      <c r="L60" s="172">
        <v>26088</v>
      </c>
      <c r="M60" s="172">
        <v>38647</v>
      </c>
      <c r="N60" s="172"/>
      <c r="O60" s="172">
        <v>0</v>
      </c>
      <c r="P60" s="176">
        <v>85033</v>
      </c>
      <c r="Q60" s="174">
        <v>225</v>
      </c>
      <c r="R60" s="172">
        <v>0</v>
      </c>
      <c r="S60" s="172">
        <v>0</v>
      </c>
      <c r="T60" s="172">
        <v>0</v>
      </c>
      <c r="U60" s="172">
        <v>0</v>
      </c>
      <c r="V60" s="176">
        <v>225</v>
      </c>
      <c r="W60" s="178">
        <v>85258</v>
      </c>
      <c r="X60" s="179">
        <v>123112</v>
      </c>
      <c r="Y60" s="228"/>
      <c r="Z60" s="228"/>
      <c r="AA60" s="229">
        <v>0</v>
      </c>
      <c r="AB60" s="180"/>
      <c r="AC60" s="181"/>
      <c r="AD60" s="183"/>
      <c r="AE60" s="183"/>
      <c r="AF60" s="183"/>
      <c r="AG60" s="173">
        <v>158614</v>
      </c>
      <c r="AH60" s="179">
        <v>53170</v>
      </c>
      <c r="AI60" s="235">
        <v>0</v>
      </c>
      <c r="AJ60" s="231">
        <v>0</v>
      </c>
      <c r="AK60" s="174">
        <v>27259</v>
      </c>
      <c r="AL60" s="181">
        <v>0</v>
      </c>
      <c r="AM60" s="181">
        <v>0</v>
      </c>
      <c r="AN60" s="172">
        <v>0</v>
      </c>
      <c r="AO60" s="172">
        <v>1117</v>
      </c>
      <c r="AP60" s="172">
        <v>0</v>
      </c>
      <c r="AQ60" s="186"/>
      <c r="AR60" s="340">
        <v>28376</v>
      </c>
      <c r="AS60" s="334">
        <v>448530</v>
      </c>
    </row>
    <row r="61" spans="1:45" s="155" customFormat="1" ht="13.5" x14ac:dyDescent="0.2">
      <c r="A61" s="169" t="s">
        <v>106</v>
      </c>
      <c r="B61" s="170" t="s">
        <v>230</v>
      </c>
      <c r="C61" s="171">
        <v>0</v>
      </c>
      <c r="D61" s="172">
        <v>0</v>
      </c>
      <c r="E61" s="173">
        <v>0</v>
      </c>
      <c r="F61" s="180"/>
      <c r="G61" s="181"/>
      <c r="H61" s="172">
        <v>2505</v>
      </c>
      <c r="I61" s="172">
        <v>0</v>
      </c>
      <c r="J61" s="172">
        <v>0</v>
      </c>
      <c r="K61" s="181">
        <v>0</v>
      </c>
      <c r="L61" s="172">
        <v>389</v>
      </c>
      <c r="M61" s="172">
        <v>3507</v>
      </c>
      <c r="N61" s="172"/>
      <c r="O61" s="172">
        <v>0</v>
      </c>
      <c r="P61" s="176">
        <v>6401</v>
      </c>
      <c r="Q61" s="174">
        <v>810</v>
      </c>
      <c r="R61" s="172">
        <v>0</v>
      </c>
      <c r="S61" s="172">
        <v>0</v>
      </c>
      <c r="T61" s="172">
        <v>0</v>
      </c>
      <c r="U61" s="172">
        <v>0</v>
      </c>
      <c r="V61" s="176">
        <v>810</v>
      </c>
      <c r="W61" s="178">
        <v>7211</v>
      </c>
      <c r="X61" s="179">
        <v>117129</v>
      </c>
      <c r="Y61" s="228"/>
      <c r="Z61" s="228"/>
      <c r="AA61" s="229">
        <v>0</v>
      </c>
      <c r="AB61" s="180"/>
      <c r="AC61" s="181"/>
      <c r="AD61" s="183"/>
      <c r="AE61" s="183"/>
      <c r="AF61" s="183"/>
      <c r="AG61" s="173">
        <v>74623</v>
      </c>
      <c r="AH61" s="179">
        <v>38391</v>
      </c>
      <c r="AI61" s="235">
        <v>0</v>
      </c>
      <c r="AJ61" s="231">
        <v>0</v>
      </c>
      <c r="AK61" s="174">
        <v>544</v>
      </c>
      <c r="AL61" s="181">
        <v>0</v>
      </c>
      <c r="AM61" s="181">
        <v>0</v>
      </c>
      <c r="AN61" s="172">
        <v>0</v>
      </c>
      <c r="AO61" s="172">
        <v>0</v>
      </c>
      <c r="AP61" s="172">
        <v>0</v>
      </c>
      <c r="AQ61" s="186"/>
      <c r="AR61" s="340">
        <v>544</v>
      </c>
      <c r="AS61" s="334">
        <v>237898</v>
      </c>
    </row>
    <row r="62" spans="1:45" s="155" customFormat="1" ht="13.5" x14ac:dyDescent="0.2">
      <c r="A62" s="169" t="s">
        <v>52</v>
      </c>
      <c r="B62" s="170" t="s">
        <v>231</v>
      </c>
      <c r="C62" s="171">
        <v>0</v>
      </c>
      <c r="D62" s="172">
        <v>0</v>
      </c>
      <c r="E62" s="173">
        <v>0</v>
      </c>
      <c r="F62" s="180"/>
      <c r="G62" s="181"/>
      <c r="H62" s="172">
        <v>1787</v>
      </c>
      <c r="I62" s="172">
        <v>0</v>
      </c>
      <c r="J62" s="172">
        <v>10</v>
      </c>
      <c r="K62" s="181">
        <v>0</v>
      </c>
      <c r="L62" s="172">
        <v>3913</v>
      </c>
      <c r="M62" s="172">
        <v>16997</v>
      </c>
      <c r="N62" s="172"/>
      <c r="O62" s="172">
        <v>0</v>
      </c>
      <c r="P62" s="176">
        <v>22707</v>
      </c>
      <c r="Q62" s="174">
        <v>337</v>
      </c>
      <c r="R62" s="172">
        <v>0</v>
      </c>
      <c r="S62" s="172">
        <v>0</v>
      </c>
      <c r="T62" s="172">
        <v>0</v>
      </c>
      <c r="U62" s="172">
        <v>6816</v>
      </c>
      <c r="V62" s="176">
        <v>7153</v>
      </c>
      <c r="W62" s="178">
        <v>29860</v>
      </c>
      <c r="X62" s="179">
        <v>82248</v>
      </c>
      <c r="Y62" s="228"/>
      <c r="Z62" s="228"/>
      <c r="AA62" s="229">
        <v>0</v>
      </c>
      <c r="AB62" s="180"/>
      <c r="AC62" s="181"/>
      <c r="AD62" s="183"/>
      <c r="AE62" s="183"/>
      <c r="AF62" s="183"/>
      <c r="AG62" s="173">
        <v>253068</v>
      </c>
      <c r="AH62" s="179">
        <v>945266</v>
      </c>
      <c r="AI62" s="235">
        <v>27</v>
      </c>
      <c r="AJ62" s="231">
        <v>0</v>
      </c>
      <c r="AK62" s="174">
        <v>18951</v>
      </c>
      <c r="AL62" s="181">
        <v>0</v>
      </c>
      <c r="AM62" s="181">
        <v>0</v>
      </c>
      <c r="AN62" s="172">
        <v>364</v>
      </c>
      <c r="AO62" s="172">
        <v>7335</v>
      </c>
      <c r="AP62" s="172">
        <v>0</v>
      </c>
      <c r="AQ62" s="186"/>
      <c r="AR62" s="340">
        <v>26650</v>
      </c>
      <c r="AS62" s="334">
        <v>1337119</v>
      </c>
    </row>
    <row r="63" spans="1:45" s="155" customFormat="1" ht="13.5" x14ac:dyDescent="0.2">
      <c r="A63" s="169" t="s">
        <v>53</v>
      </c>
      <c r="B63" s="170" t="s">
        <v>232</v>
      </c>
      <c r="C63" s="171">
        <v>568</v>
      </c>
      <c r="D63" s="172">
        <v>0</v>
      </c>
      <c r="E63" s="173">
        <v>568</v>
      </c>
      <c r="F63" s="180"/>
      <c r="G63" s="181"/>
      <c r="H63" s="172">
        <v>2176</v>
      </c>
      <c r="I63" s="172">
        <v>0</v>
      </c>
      <c r="J63" s="172">
        <v>4</v>
      </c>
      <c r="K63" s="181">
        <v>0</v>
      </c>
      <c r="L63" s="172">
        <v>2096</v>
      </c>
      <c r="M63" s="172">
        <v>5033</v>
      </c>
      <c r="N63" s="172"/>
      <c r="O63" s="172">
        <v>0</v>
      </c>
      <c r="P63" s="176">
        <v>9309</v>
      </c>
      <c r="Q63" s="174">
        <v>1929</v>
      </c>
      <c r="R63" s="172">
        <v>401</v>
      </c>
      <c r="S63" s="172">
        <v>2820</v>
      </c>
      <c r="T63" s="172">
        <v>1974</v>
      </c>
      <c r="U63" s="172">
        <v>13455</v>
      </c>
      <c r="V63" s="176">
        <v>20579</v>
      </c>
      <c r="W63" s="178">
        <v>29888</v>
      </c>
      <c r="X63" s="179">
        <v>76972</v>
      </c>
      <c r="Y63" s="228"/>
      <c r="Z63" s="228"/>
      <c r="AA63" s="229">
        <v>0</v>
      </c>
      <c r="AB63" s="180"/>
      <c r="AC63" s="181"/>
      <c r="AD63" s="183"/>
      <c r="AE63" s="183"/>
      <c r="AF63" s="183"/>
      <c r="AG63" s="173">
        <v>191186</v>
      </c>
      <c r="AH63" s="179">
        <v>91416</v>
      </c>
      <c r="AI63" s="235">
        <v>316</v>
      </c>
      <c r="AJ63" s="231">
        <v>0</v>
      </c>
      <c r="AK63" s="174">
        <v>1074</v>
      </c>
      <c r="AL63" s="181">
        <v>0</v>
      </c>
      <c r="AM63" s="181">
        <v>0</v>
      </c>
      <c r="AN63" s="172">
        <v>0</v>
      </c>
      <c r="AO63" s="172">
        <v>0</v>
      </c>
      <c r="AP63" s="172">
        <v>455</v>
      </c>
      <c r="AQ63" s="186"/>
      <c r="AR63" s="340">
        <v>1529</v>
      </c>
      <c r="AS63" s="334">
        <v>391875</v>
      </c>
    </row>
    <row r="64" spans="1:45" s="155" customFormat="1" ht="13.5" x14ac:dyDescent="0.2">
      <c r="A64" s="169" t="s">
        <v>54</v>
      </c>
      <c r="B64" s="170" t="s">
        <v>233</v>
      </c>
      <c r="C64" s="171">
        <v>0</v>
      </c>
      <c r="D64" s="172">
        <v>0</v>
      </c>
      <c r="E64" s="173">
        <v>0</v>
      </c>
      <c r="F64" s="180"/>
      <c r="G64" s="181"/>
      <c r="H64" s="172">
        <v>3013</v>
      </c>
      <c r="I64" s="172">
        <v>0</v>
      </c>
      <c r="J64" s="172">
        <v>4</v>
      </c>
      <c r="K64" s="181">
        <v>0</v>
      </c>
      <c r="L64" s="172">
        <v>2138</v>
      </c>
      <c r="M64" s="172">
        <v>0</v>
      </c>
      <c r="N64" s="172"/>
      <c r="O64" s="172">
        <v>10442</v>
      </c>
      <c r="P64" s="176">
        <v>15597</v>
      </c>
      <c r="Q64" s="174">
        <v>88</v>
      </c>
      <c r="R64" s="172">
        <v>0</v>
      </c>
      <c r="S64" s="172">
        <v>0</v>
      </c>
      <c r="T64" s="172">
        <v>0</v>
      </c>
      <c r="U64" s="172">
        <v>0</v>
      </c>
      <c r="V64" s="176">
        <v>88</v>
      </c>
      <c r="W64" s="178">
        <v>15685</v>
      </c>
      <c r="X64" s="179">
        <v>188576</v>
      </c>
      <c r="Y64" s="228"/>
      <c r="Z64" s="228"/>
      <c r="AA64" s="229">
        <v>0</v>
      </c>
      <c r="AB64" s="180"/>
      <c r="AC64" s="181"/>
      <c r="AD64" s="183"/>
      <c r="AE64" s="183"/>
      <c r="AF64" s="183"/>
      <c r="AG64" s="173">
        <v>33005</v>
      </c>
      <c r="AH64" s="179">
        <v>15806</v>
      </c>
      <c r="AI64" s="235">
        <v>0</v>
      </c>
      <c r="AJ64" s="231">
        <v>0</v>
      </c>
      <c r="AK64" s="174">
        <v>16451</v>
      </c>
      <c r="AL64" s="181">
        <v>0</v>
      </c>
      <c r="AM64" s="181">
        <v>0</v>
      </c>
      <c r="AN64" s="172">
        <v>382</v>
      </c>
      <c r="AO64" s="172">
        <v>0</v>
      </c>
      <c r="AP64" s="172">
        <v>0</v>
      </c>
      <c r="AQ64" s="186"/>
      <c r="AR64" s="340">
        <v>16833</v>
      </c>
      <c r="AS64" s="334">
        <v>269905</v>
      </c>
    </row>
    <row r="65" spans="1:45" s="155" customFormat="1" ht="13.5" x14ac:dyDescent="0.2">
      <c r="A65" s="169" t="s">
        <v>55</v>
      </c>
      <c r="B65" s="170" t="s">
        <v>234</v>
      </c>
      <c r="C65" s="171">
        <v>0</v>
      </c>
      <c r="D65" s="172">
        <v>0</v>
      </c>
      <c r="E65" s="173">
        <v>0</v>
      </c>
      <c r="F65" s="180"/>
      <c r="G65" s="181"/>
      <c r="H65" s="172">
        <v>114</v>
      </c>
      <c r="I65" s="172">
        <v>0</v>
      </c>
      <c r="J65" s="172">
        <v>0</v>
      </c>
      <c r="K65" s="181">
        <v>0</v>
      </c>
      <c r="L65" s="172">
        <v>1212</v>
      </c>
      <c r="M65" s="172">
        <v>0</v>
      </c>
      <c r="N65" s="172"/>
      <c r="O65" s="172">
        <v>0</v>
      </c>
      <c r="P65" s="176">
        <v>1326</v>
      </c>
      <c r="Q65" s="174">
        <v>165</v>
      </c>
      <c r="R65" s="172">
        <v>0</v>
      </c>
      <c r="S65" s="172">
        <v>0</v>
      </c>
      <c r="T65" s="172">
        <v>0</v>
      </c>
      <c r="U65" s="172">
        <v>0</v>
      </c>
      <c r="V65" s="176">
        <v>165</v>
      </c>
      <c r="W65" s="178">
        <v>1491</v>
      </c>
      <c r="X65" s="179">
        <v>197768</v>
      </c>
      <c r="Y65" s="228"/>
      <c r="Z65" s="228"/>
      <c r="AA65" s="229">
        <v>0</v>
      </c>
      <c r="AB65" s="180"/>
      <c r="AC65" s="181"/>
      <c r="AD65" s="183"/>
      <c r="AE65" s="183"/>
      <c r="AF65" s="183"/>
      <c r="AG65" s="173">
        <v>43627</v>
      </c>
      <c r="AH65" s="179">
        <v>0</v>
      </c>
      <c r="AI65" s="235">
        <v>0</v>
      </c>
      <c r="AJ65" s="231">
        <v>0</v>
      </c>
      <c r="AK65" s="174">
        <v>0</v>
      </c>
      <c r="AL65" s="181">
        <v>0</v>
      </c>
      <c r="AM65" s="181">
        <v>0</v>
      </c>
      <c r="AN65" s="172">
        <v>0</v>
      </c>
      <c r="AO65" s="172">
        <v>0</v>
      </c>
      <c r="AP65" s="172">
        <v>0</v>
      </c>
      <c r="AQ65" s="186"/>
      <c r="AR65" s="340">
        <v>0</v>
      </c>
      <c r="AS65" s="334">
        <v>242886</v>
      </c>
    </row>
    <row r="66" spans="1:45" s="155" customFormat="1" ht="13.5" x14ac:dyDescent="0.2">
      <c r="A66" s="169" t="s">
        <v>121</v>
      </c>
      <c r="B66" s="170" t="s">
        <v>235</v>
      </c>
      <c r="C66" s="194">
        <v>0</v>
      </c>
      <c r="D66" s="172">
        <v>0</v>
      </c>
      <c r="E66" s="173">
        <v>0</v>
      </c>
      <c r="F66" s="180"/>
      <c r="G66" s="181"/>
      <c r="H66" s="172">
        <v>792</v>
      </c>
      <c r="I66" s="172">
        <v>0</v>
      </c>
      <c r="J66" s="172">
        <v>3</v>
      </c>
      <c r="K66" s="181">
        <v>0</v>
      </c>
      <c r="L66" s="172">
        <v>15631</v>
      </c>
      <c r="M66" s="172">
        <v>283</v>
      </c>
      <c r="N66" s="172"/>
      <c r="O66" s="172">
        <v>373847</v>
      </c>
      <c r="P66" s="176">
        <v>390556</v>
      </c>
      <c r="Q66" s="174">
        <v>228</v>
      </c>
      <c r="R66" s="172">
        <v>0</v>
      </c>
      <c r="S66" s="172">
        <v>0</v>
      </c>
      <c r="T66" s="172">
        <v>0</v>
      </c>
      <c r="U66" s="172">
        <v>0</v>
      </c>
      <c r="V66" s="176">
        <v>228</v>
      </c>
      <c r="W66" s="178">
        <v>390784</v>
      </c>
      <c r="X66" s="179">
        <v>32045</v>
      </c>
      <c r="Y66" s="228"/>
      <c r="Z66" s="228"/>
      <c r="AA66" s="229">
        <v>0</v>
      </c>
      <c r="AB66" s="180"/>
      <c r="AC66" s="181"/>
      <c r="AD66" s="183"/>
      <c r="AE66" s="183"/>
      <c r="AF66" s="183"/>
      <c r="AG66" s="173">
        <v>71606</v>
      </c>
      <c r="AH66" s="179">
        <v>968</v>
      </c>
      <c r="AI66" s="235">
        <v>85094</v>
      </c>
      <c r="AJ66" s="231">
        <v>0</v>
      </c>
      <c r="AK66" s="174">
        <v>12520</v>
      </c>
      <c r="AL66" s="181">
        <v>0</v>
      </c>
      <c r="AM66" s="181">
        <v>0</v>
      </c>
      <c r="AN66" s="172">
        <v>49771</v>
      </c>
      <c r="AO66" s="172">
        <v>0</v>
      </c>
      <c r="AP66" s="172">
        <v>0</v>
      </c>
      <c r="AQ66" s="186"/>
      <c r="AR66" s="340">
        <v>62291</v>
      </c>
      <c r="AS66" s="334">
        <v>642788</v>
      </c>
    </row>
    <row r="67" spans="1:45" s="155" customFormat="1" ht="13.5" x14ac:dyDescent="0.2">
      <c r="A67" s="169" t="s">
        <v>107</v>
      </c>
      <c r="B67" s="170" t="s">
        <v>236</v>
      </c>
      <c r="C67" s="194">
        <v>172</v>
      </c>
      <c r="D67" s="172">
        <v>4696</v>
      </c>
      <c r="E67" s="173">
        <v>4868</v>
      </c>
      <c r="F67" s="180"/>
      <c r="G67" s="181"/>
      <c r="H67" s="172">
        <v>2447</v>
      </c>
      <c r="I67" s="172">
        <v>0</v>
      </c>
      <c r="J67" s="172">
        <v>0</v>
      </c>
      <c r="K67" s="181">
        <v>0</v>
      </c>
      <c r="L67" s="172">
        <v>679</v>
      </c>
      <c r="M67" s="172">
        <v>0</v>
      </c>
      <c r="N67" s="172"/>
      <c r="O67" s="172">
        <v>0</v>
      </c>
      <c r="P67" s="176">
        <v>3126</v>
      </c>
      <c r="Q67" s="174">
        <v>346</v>
      </c>
      <c r="R67" s="172">
        <v>0</v>
      </c>
      <c r="S67" s="172">
        <v>0</v>
      </c>
      <c r="T67" s="172">
        <v>1</v>
      </c>
      <c r="U67" s="172">
        <v>0</v>
      </c>
      <c r="V67" s="176">
        <v>347</v>
      </c>
      <c r="W67" s="178">
        <v>3473</v>
      </c>
      <c r="X67" s="179">
        <v>17906</v>
      </c>
      <c r="Y67" s="228"/>
      <c r="Z67" s="228"/>
      <c r="AA67" s="229">
        <v>0</v>
      </c>
      <c r="AB67" s="180"/>
      <c r="AC67" s="181"/>
      <c r="AD67" s="183"/>
      <c r="AE67" s="183"/>
      <c r="AF67" s="183"/>
      <c r="AG67" s="173">
        <v>19249</v>
      </c>
      <c r="AH67" s="179">
        <v>0</v>
      </c>
      <c r="AI67" s="235">
        <v>0</v>
      </c>
      <c r="AJ67" s="231">
        <v>0</v>
      </c>
      <c r="AK67" s="174">
        <v>1</v>
      </c>
      <c r="AL67" s="181">
        <v>0</v>
      </c>
      <c r="AM67" s="181">
        <v>0</v>
      </c>
      <c r="AN67" s="172">
        <v>0</v>
      </c>
      <c r="AO67" s="172">
        <v>0</v>
      </c>
      <c r="AP67" s="172">
        <v>0</v>
      </c>
      <c r="AQ67" s="186"/>
      <c r="AR67" s="340">
        <v>1</v>
      </c>
      <c r="AS67" s="334">
        <v>45497</v>
      </c>
    </row>
    <row r="68" spans="1:45" s="155" customFormat="1" ht="13.5" x14ac:dyDescent="0.2">
      <c r="A68" s="169" t="s">
        <v>56</v>
      </c>
      <c r="B68" s="170" t="s">
        <v>237</v>
      </c>
      <c r="C68" s="171">
        <v>5129</v>
      </c>
      <c r="D68" s="172">
        <v>1307</v>
      </c>
      <c r="E68" s="173">
        <v>6436</v>
      </c>
      <c r="F68" s="180"/>
      <c r="G68" s="181"/>
      <c r="H68" s="172">
        <v>64</v>
      </c>
      <c r="I68" s="172">
        <v>0</v>
      </c>
      <c r="J68" s="172">
        <v>0</v>
      </c>
      <c r="K68" s="181">
        <v>0</v>
      </c>
      <c r="L68" s="172">
        <v>1478</v>
      </c>
      <c r="M68" s="172">
        <v>0</v>
      </c>
      <c r="N68" s="172"/>
      <c r="O68" s="172">
        <v>38</v>
      </c>
      <c r="P68" s="176">
        <v>1580</v>
      </c>
      <c r="Q68" s="174">
        <v>303</v>
      </c>
      <c r="R68" s="172">
        <v>0</v>
      </c>
      <c r="S68" s="172">
        <v>0</v>
      </c>
      <c r="T68" s="172">
        <v>0</v>
      </c>
      <c r="U68" s="172">
        <v>0</v>
      </c>
      <c r="V68" s="176">
        <v>303</v>
      </c>
      <c r="W68" s="178">
        <v>1883</v>
      </c>
      <c r="X68" s="179">
        <v>47541</v>
      </c>
      <c r="Y68" s="228"/>
      <c r="Z68" s="228"/>
      <c r="AA68" s="229">
        <v>0</v>
      </c>
      <c r="AB68" s="180"/>
      <c r="AC68" s="181"/>
      <c r="AD68" s="183"/>
      <c r="AE68" s="183"/>
      <c r="AF68" s="183"/>
      <c r="AG68" s="173">
        <v>118912</v>
      </c>
      <c r="AH68" s="179">
        <v>0</v>
      </c>
      <c r="AI68" s="235">
        <v>0</v>
      </c>
      <c r="AJ68" s="231">
        <v>0</v>
      </c>
      <c r="AK68" s="174">
        <v>0</v>
      </c>
      <c r="AL68" s="181">
        <v>0</v>
      </c>
      <c r="AM68" s="181">
        <v>0</v>
      </c>
      <c r="AN68" s="172">
        <v>0</v>
      </c>
      <c r="AO68" s="172">
        <v>0</v>
      </c>
      <c r="AP68" s="172">
        <v>0</v>
      </c>
      <c r="AQ68" s="186"/>
      <c r="AR68" s="340">
        <v>0</v>
      </c>
      <c r="AS68" s="334">
        <v>174772</v>
      </c>
    </row>
    <row r="69" spans="1:45" s="155" customFormat="1" ht="13.5" x14ac:dyDescent="0.2">
      <c r="A69" s="169" t="s">
        <v>57</v>
      </c>
      <c r="B69" s="170" t="s">
        <v>238</v>
      </c>
      <c r="C69" s="171">
        <v>0</v>
      </c>
      <c r="D69" s="172">
        <v>0</v>
      </c>
      <c r="E69" s="173">
        <v>0</v>
      </c>
      <c r="F69" s="180"/>
      <c r="G69" s="181"/>
      <c r="H69" s="172">
        <v>2755</v>
      </c>
      <c r="I69" s="172">
        <v>0</v>
      </c>
      <c r="J69" s="236">
        <v>0</v>
      </c>
      <c r="K69" s="181">
        <v>0</v>
      </c>
      <c r="L69" s="172">
        <v>2017</v>
      </c>
      <c r="M69" s="172">
        <v>1131</v>
      </c>
      <c r="N69" s="172"/>
      <c r="O69" s="172">
        <v>0</v>
      </c>
      <c r="P69" s="176">
        <v>5903</v>
      </c>
      <c r="Q69" s="174">
        <v>17</v>
      </c>
      <c r="R69" s="172">
        <v>0</v>
      </c>
      <c r="S69" s="172">
        <v>0</v>
      </c>
      <c r="T69" s="172">
        <v>1</v>
      </c>
      <c r="U69" s="172">
        <v>0</v>
      </c>
      <c r="V69" s="176">
        <v>18</v>
      </c>
      <c r="W69" s="178">
        <v>5921</v>
      </c>
      <c r="X69" s="179">
        <v>12416</v>
      </c>
      <c r="Y69" s="228"/>
      <c r="Z69" s="228"/>
      <c r="AA69" s="229">
        <v>0</v>
      </c>
      <c r="AB69" s="180"/>
      <c r="AC69" s="181"/>
      <c r="AD69" s="183"/>
      <c r="AE69" s="183"/>
      <c r="AF69" s="183"/>
      <c r="AG69" s="173">
        <v>27870</v>
      </c>
      <c r="AH69" s="179">
        <v>2197</v>
      </c>
      <c r="AI69" s="235">
        <v>0</v>
      </c>
      <c r="AJ69" s="231">
        <v>0</v>
      </c>
      <c r="AK69" s="174">
        <v>1870</v>
      </c>
      <c r="AL69" s="181">
        <v>0</v>
      </c>
      <c r="AM69" s="181">
        <v>0</v>
      </c>
      <c r="AN69" s="172">
        <v>0</v>
      </c>
      <c r="AO69" s="172">
        <v>0</v>
      </c>
      <c r="AP69" s="172">
        <v>0</v>
      </c>
      <c r="AQ69" s="186"/>
      <c r="AR69" s="340">
        <v>1870</v>
      </c>
      <c r="AS69" s="334">
        <v>50274</v>
      </c>
    </row>
    <row r="70" spans="1:45" s="155" customFormat="1" ht="13.5" x14ac:dyDescent="0.2">
      <c r="A70" s="169" t="s">
        <v>58</v>
      </c>
      <c r="B70" s="170" t="s">
        <v>239</v>
      </c>
      <c r="C70" s="171">
        <v>0</v>
      </c>
      <c r="D70" s="172">
        <v>0</v>
      </c>
      <c r="E70" s="173">
        <v>0</v>
      </c>
      <c r="F70" s="180"/>
      <c r="G70" s="181"/>
      <c r="H70" s="172">
        <v>1200</v>
      </c>
      <c r="I70" s="172">
        <v>0</v>
      </c>
      <c r="J70" s="172">
        <v>0</v>
      </c>
      <c r="K70" s="181">
        <v>0</v>
      </c>
      <c r="L70" s="172">
        <v>5894</v>
      </c>
      <c r="M70" s="172">
        <v>338</v>
      </c>
      <c r="N70" s="172"/>
      <c r="O70" s="172">
        <v>0</v>
      </c>
      <c r="P70" s="176">
        <v>7432</v>
      </c>
      <c r="Q70" s="174">
        <v>385</v>
      </c>
      <c r="R70" s="172">
        <v>0</v>
      </c>
      <c r="S70" s="172">
        <v>1430</v>
      </c>
      <c r="T70" s="172">
        <v>0</v>
      </c>
      <c r="U70" s="172">
        <v>0</v>
      </c>
      <c r="V70" s="176">
        <v>1815</v>
      </c>
      <c r="W70" s="178">
        <v>9247</v>
      </c>
      <c r="X70" s="179">
        <v>9058</v>
      </c>
      <c r="Y70" s="228"/>
      <c r="Z70" s="228"/>
      <c r="AA70" s="229">
        <v>0</v>
      </c>
      <c r="AB70" s="180"/>
      <c r="AC70" s="181"/>
      <c r="AD70" s="183"/>
      <c r="AE70" s="183"/>
      <c r="AF70" s="183"/>
      <c r="AG70" s="173">
        <v>71305</v>
      </c>
      <c r="AH70" s="179">
        <v>11222</v>
      </c>
      <c r="AI70" s="235">
        <v>0</v>
      </c>
      <c r="AJ70" s="231">
        <v>0</v>
      </c>
      <c r="AK70" s="174">
        <v>27273</v>
      </c>
      <c r="AL70" s="181">
        <v>0</v>
      </c>
      <c r="AM70" s="181">
        <v>0</v>
      </c>
      <c r="AN70" s="172">
        <v>0</v>
      </c>
      <c r="AO70" s="172">
        <v>0</v>
      </c>
      <c r="AP70" s="172">
        <v>0</v>
      </c>
      <c r="AQ70" s="186"/>
      <c r="AR70" s="340">
        <v>27273</v>
      </c>
      <c r="AS70" s="334">
        <v>128105</v>
      </c>
    </row>
    <row r="71" spans="1:45" s="155" customFormat="1" ht="13.5" x14ac:dyDescent="0.2">
      <c r="A71" s="169" t="s">
        <v>59</v>
      </c>
      <c r="B71" s="170" t="s">
        <v>240</v>
      </c>
      <c r="C71" s="171">
        <v>0</v>
      </c>
      <c r="D71" s="172">
        <v>0</v>
      </c>
      <c r="E71" s="173">
        <v>0</v>
      </c>
      <c r="F71" s="180"/>
      <c r="G71" s="181"/>
      <c r="H71" s="172">
        <v>118</v>
      </c>
      <c r="I71" s="172">
        <v>0</v>
      </c>
      <c r="J71" s="172">
        <v>0</v>
      </c>
      <c r="K71" s="181">
        <v>0</v>
      </c>
      <c r="L71" s="172">
        <v>0</v>
      </c>
      <c r="M71" s="172">
        <v>0</v>
      </c>
      <c r="N71" s="172"/>
      <c r="O71" s="172">
        <v>0</v>
      </c>
      <c r="P71" s="176">
        <v>118</v>
      </c>
      <c r="Q71" s="174">
        <v>1937</v>
      </c>
      <c r="R71" s="172">
        <v>0</v>
      </c>
      <c r="S71" s="172">
        <v>502</v>
      </c>
      <c r="T71" s="172">
        <v>1</v>
      </c>
      <c r="U71" s="172">
        <v>0</v>
      </c>
      <c r="V71" s="176">
        <v>2440</v>
      </c>
      <c r="W71" s="178">
        <v>2558</v>
      </c>
      <c r="X71" s="179">
        <v>3963</v>
      </c>
      <c r="Y71" s="228"/>
      <c r="Z71" s="228"/>
      <c r="AA71" s="229">
        <v>0</v>
      </c>
      <c r="AB71" s="180"/>
      <c r="AC71" s="181"/>
      <c r="AD71" s="183"/>
      <c r="AE71" s="183"/>
      <c r="AF71" s="183"/>
      <c r="AG71" s="173">
        <v>17479</v>
      </c>
      <c r="AH71" s="179">
        <v>10194</v>
      </c>
      <c r="AI71" s="235">
        <v>0</v>
      </c>
      <c r="AJ71" s="231">
        <v>0</v>
      </c>
      <c r="AK71" s="174">
        <v>467</v>
      </c>
      <c r="AL71" s="181">
        <v>0</v>
      </c>
      <c r="AM71" s="181">
        <v>0</v>
      </c>
      <c r="AN71" s="172">
        <v>0</v>
      </c>
      <c r="AO71" s="172">
        <v>0</v>
      </c>
      <c r="AP71" s="172">
        <v>0</v>
      </c>
      <c r="AQ71" s="186"/>
      <c r="AR71" s="340">
        <v>467</v>
      </c>
      <c r="AS71" s="334">
        <v>34661</v>
      </c>
    </row>
    <row r="72" spans="1:45" s="155" customFormat="1" ht="13.5" x14ac:dyDescent="0.2">
      <c r="A72" s="169" t="s">
        <v>126</v>
      </c>
      <c r="B72" s="170" t="s">
        <v>241</v>
      </c>
      <c r="C72" s="171">
        <v>0</v>
      </c>
      <c r="D72" s="172">
        <v>0</v>
      </c>
      <c r="E72" s="173">
        <v>0</v>
      </c>
      <c r="F72" s="180"/>
      <c r="G72" s="181"/>
      <c r="H72" s="172">
        <v>16274</v>
      </c>
      <c r="I72" s="172">
        <v>18</v>
      </c>
      <c r="J72" s="172">
        <v>4</v>
      </c>
      <c r="K72" s="181">
        <v>0</v>
      </c>
      <c r="L72" s="172">
        <v>5501</v>
      </c>
      <c r="M72" s="172">
        <v>675</v>
      </c>
      <c r="N72" s="172"/>
      <c r="O72" s="172">
        <v>0</v>
      </c>
      <c r="P72" s="176">
        <v>22472</v>
      </c>
      <c r="Q72" s="174">
        <v>2544</v>
      </c>
      <c r="R72" s="172">
        <v>0</v>
      </c>
      <c r="S72" s="172">
        <v>98</v>
      </c>
      <c r="T72" s="172">
        <v>71</v>
      </c>
      <c r="U72" s="172">
        <v>0</v>
      </c>
      <c r="V72" s="176">
        <v>2713</v>
      </c>
      <c r="W72" s="178">
        <v>25185</v>
      </c>
      <c r="X72" s="179">
        <v>51697</v>
      </c>
      <c r="Y72" s="228"/>
      <c r="Z72" s="228"/>
      <c r="AA72" s="229">
        <v>0</v>
      </c>
      <c r="AB72" s="180"/>
      <c r="AC72" s="181"/>
      <c r="AD72" s="183"/>
      <c r="AE72" s="183"/>
      <c r="AF72" s="183"/>
      <c r="AG72" s="173">
        <v>124989</v>
      </c>
      <c r="AH72" s="179">
        <v>762</v>
      </c>
      <c r="AI72" s="235">
        <v>0</v>
      </c>
      <c r="AJ72" s="231">
        <v>0</v>
      </c>
      <c r="AK72" s="174">
        <v>514</v>
      </c>
      <c r="AL72" s="181">
        <v>0</v>
      </c>
      <c r="AM72" s="181">
        <v>0</v>
      </c>
      <c r="AN72" s="172">
        <v>0</v>
      </c>
      <c r="AO72" s="172">
        <v>0</v>
      </c>
      <c r="AP72" s="172">
        <v>0</v>
      </c>
      <c r="AQ72" s="186"/>
      <c r="AR72" s="340">
        <v>514</v>
      </c>
      <c r="AS72" s="334">
        <v>203147</v>
      </c>
    </row>
    <row r="73" spans="1:45" s="155" customFormat="1" ht="13.5" x14ac:dyDescent="0.2">
      <c r="A73" s="211" t="s">
        <v>129</v>
      </c>
      <c r="B73" s="212" t="s">
        <v>242</v>
      </c>
      <c r="C73" s="237">
        <v>0</v>
      </c>
      <c r="D73" s="214">
        <v>0</v>
      </c>
      <c r="E73" s="215">
        <v>0</v>
      </c>
      <c r="F73" s="220"/>
      <c r="G73" s="221"/>
      <c r="H73" s="172">
        <v>2072</v>
      </c>
      <c r="I73" s="172">
        <v>0</v>
      </c>
      <c r="J73" s="172">
        <v>0</v>
      </c>
      <c r="K73" s="221">
        <v>0</v>
      </c>
      <c r="L73" s="172">
        <v>19814</v>
      </c>
      <c r="M73" s="172">
        <v>1057</v>
      </c>
      <c r="N73" s="172"/>
      <c r="O73" s="172">
        <v>0</v>
      </c>
      <c r="P73" s="217">
        <v>22943</v>
      </c>
      <c r="Q73" s="216">
        <v>431</v>
      </c>
      <c r="R73" s="172">
        <v>0</v>
      </c>
      <c r="S73" s="214">
        <v>5012</v>
      </c>
      <c r="T73" s="214">
        <v>51</v>
      </c>
      <c r="U73" s="214">
        <v>0</v>
      </c>
      <c r="V73" s="217">
        <v>5494</v>
      </c>
      <c r="W73" s="218">
        <v>28437</v>
      </c>
      <c r="X73" s="219">
        <v>7196</v>
      </c>
      <c r="Y73" s="238"/>
      <c r="Z73" s="238"/>
      <c r="AA73" s="239">
        <v>0</v>
      </c>
      <c r="AB73" s="220"/>
      <c r="AC73" s="221"/>
      <c r="AD73" s="222"/>
      <c r="AE73" s="222"/>
      <c r="AF73" s="222"/>
      <c r="AG73" s="215">
        <v>44441</v>
      </c>
      <c r="AH73" s="219">
        <v>2115</v>
      </c>
      <c r="AI73" s="240">
        <v>0</v>
      </c>
      <c r="AJ73" s="231">
        <v>0</v>
      </c>
      <c r="AK73" s="174">
        <v>454</v>
      </c>
      <c r="AL73" s="221">
        <v>0</v>
      </c>
      <c r="AM73" s="221">
        <v>0</v>
      </c>
      <c r="AN73" s="172">
        <v>0</v>
      </c>
      <c r="AO73" s="214">
        <v>0</v>
      </c>
      <c r="AP73" s="214">
        <v>0</v>
      </c>
      <c r="AQ73" s="223"/>
      <c r="AR73" s="342">
        <v>454</v>
      </c>
      <c r="AS73" s="338">
        <v>82643</v>
      </c>
    </row>
    <row r="74" spans="1:45" s="155" customFormat="1" ht="13.5" x14ac:dyDescent="0.2">
      <c r="A74" s="226" t="s">
        <v>81</v>
      </c>
      <c r="B74" s="112" t="s">
        <v>243</v>
      </c>
      <c r="C74" s="113">
        <v>0</v>
      </c>
      <c r="D74" s="76">
        <v>0</v>
      </c>
      <c r="E74" s="106">
        <v>0</v>
      </c>
      <c r="F74" s="109"/>
      <c r="G74" s="85"/>
      <c r="H74" s="76">
        <v>7809</v>
      </c>
      <c r="I74" s="76">
        <v>0</v>
      </c>
      <c r="J74" s="76">
        <v>1</v>
      </c>
      <c r="K74" s="85">
        <v>0</v>
      </c>
      <c r="L74" s="76">
        <v>69142</v>
      </c>
      <c r="M74" s="76">
        <v>9643</v>
      </c>
      <c r="N74" s="76"/>
      <c r="O74" s="137">
        <v>0</v>
      </c>
      <c r="P74" s="80">
        <v>86595</v>
      </c>
      <c r="Q74" s="83">
        <v>1368</v>
      </c>
      <c r="R74" s="76">
        <v>131090</v>
      </c>
      <c r="S74" s="76">
        <v>0</v>
      </c>
      <c r="T74" s="76">
        <v>48</v>
      </c>
      <c r="U74" s="76">
        <v>0</v>
      </c>
      <c r="V74" s="80">
        <v>132506</v>
      </c>
      <c r="W74" s="107">
        <v>219101</v>
      </c>
      <c r="X74" s="108">
        <v>13140</v>
      </c>
      <c r="Y74" s="75"/>
      <c r="Z74" s="75"/>
      <c r="AA74" s="117">
        <v>0</v>
      </c>
      <c r="AB74" s="109"/>
      <c r="AC74" s="85"/>
      <c r="AD74" s="191"/>
      <c r="AE74" s="191"/>
      <c r="AF74" s="191"/>
      <c r="AG74" s="84">
        <v>38246</v>
      </c>
      <c r="AH74" s="110"/>
      <c r="AI74" s="121">
        <v>0</v>
      </c>
      <c r="AJ74" s="241">
        <v>0</v>
      </c>
      <c r="AK74" s="83">
        <v>301</v>
      </c>
      <c r="AL74" s="85">
        <v>0</v>
      </c>
      <c r="AM74" s="85">
        <v>0</v>
      </c>
      <c r="AN74" s="76">
        <v>0</v>
      </c>
      <c r="AO74" s="76">
        <v>0</v>
      </c>
      <c r="AP74" s="76">
        <v>0</v>
      </c>
      <c r="AQ74" s="325"/>
      <c r="AR74" s="81">
        <v>301</v>
      </c>
      <c r="AS74" s="111">
        <v>270788</v>
      </c>
    </row>
    <row r="75" spans="1:45" s="155" customFormat="1" ht="13.5" x14ac:dyDescent="0.2">
      <c r="A75" s="232" t="s">
        <v>82</v>
      </c>
      <c r="B75" s="122" t="s">
        <v>244</v>
      </c>
      <c r="C75" s="123"/>
      <c r="D75" s="124"/>
      <c r="E75" s="125">
        <v>0</v>
      </c>
      <c r="F75" s="126">
        <v>0</v>
      </c>
      <c r="G75" s="127">
        <v>0</v>
      </c>
      <c r="H75" s="124">
        <v>36827</v>
      </c>
      <c r="I75" s="124">
        <v>1148432</v>
      </c>
      <c r="J75" s="124">
        <v>0</v>
      </c>
      <c r="K75" s="124">
        <v>113505</v>
      </c>
      <c r="L75" s="124">
        <v>4062369</v>
      </c>
      <c r="M75" s="124">
        <v>59782</v>
      </c>
      <c r="N75" s="124">
        <v>0</v>
      </c>
      <c r="O75" s="138">
        <v>0</v>
      </c>
      <c r="P75" s="128">
        <v>5420915</v>
      </c>
      <c r="Q75" s="129">
        <v>32491</v>
      </c>
      <c r="R75" s="124">
        <v>0</v>
      </c>
      <c r="S75" s="124">
        <v>0</v>
      </c>
      <c r="T75" s="124">
        <v>0</v>
      </c>
      <c r="U75" s="124">
        <v>0</v>
      </c>
      <c r="V75" s="139">
        <v>32491</v>
      </c>
      <c r="W75" s="130">
        <v>5453406</v>
      </c>
      <c r="X75" s="131">
        <v>12141</v>
      </c>
      <c r="Y75" s="132">
        <v>0</v>
      </c>
      <c r="Z75" s="132">
        <v>0</v>
      </c>
      <c r="AA75" s="133">
        <v>0</v>
      </c>
      <c r="AB75" s="126">
        <v>0</v>
      </c>
      <c r="AC75" s="127">
        <v>0</v>
      </c>
      <c r="AD75" s="233">
        <v>0</v>
      </c>
      <c r="AE75" s="233">
        <v>0</v>
      </c>
      <c r="AF75" s="233">
        <v>0</v>
      </c>
      <c r="AG75" s="309">
        <v>35887</v>
      </c>
      <c r="AH75" s="140">
        <v>0</v>
      </c>
      <c r="AI75" s="134">
        <v>0</v>
      </c>
      <c r="AJ75" s="242">
        <v>0</v>
      </c>
      <c r="AK75" s="129">
        <v>0</v>
      </c>
      <c r="AL75" s="127">
        <v>0</v>
      </c>
      <c r="AM75" s="127">
        <v>0</v>
      </c>
      <c r="AN75" s="124">
        <v>0</v>
      </c>
      <c r="AO75" s="124">
        <v>0</v>
      </c>
      <c r="AP75" s="124">
        <v>4865</v>
      </c>
      <c r="AQ75" s="328"/>
      <c r="AR75" s="341">
        <v>4865</v>
      </c>
      <c r="AS75" s="136">
        <v>5506299</v>
      </c>
    </row>
    <row r="76" spans="1:45" s="155" customFormat="1" ht="13.5" x14ac:dyDescent="0.2">
      <c r="A76" s="169" t="s">
        <v>135</v>
      </c>
      <c r="B76" s="170" t="s">
        <v>245</v>
      </c>
      <c r="C76" s="171"/>
      <c r="D76" s="172"/>
      <c r="E76" s="173">
        <v>0</v>
      </c>
      <c r="F76" s="180"/>
      <c r="G76" s="181"/>
      <c r="H76" s="172">
        <v>0</v>
      </c>
      <c r="I76" s="172">
        <v>1401</v>
      </c>
      <c r="J76" s="172">
        <v>0</v>
      </c>
      <c r="K76" s="172">
        <v>113505</v>
      </c>
      <c r="L76" s="172">
        <v>0</v>
      </c>
      <c r="M76" s="172">
        <v>0</v>
      </c>
      <c r="N76" s="172"/>
      <c r="O76" s="172"/>
      <c r="P76" s="176">
        <v>114906</v>
      </c>
      <c r="Q76" s="174">
        <v>3</v>
      </c>
      <c r="R76" s="172">
        <v>0</v>
      </c>
      <c r="S76" s="172">
        <v>0</v>
      </c>
      <c r="T76" s="172">
        <v>0</v>
      </c>
      <c r="U76" s="172">
        <v>0</v>
      </c>
      <c r="V76" s="176">
        <v>3</v>
      </c>
      <c r="W76" s="178">
        <v>114909</v>
      </c>
      <c r="X76" s="179">
        <v>0</v>
      </c>
      <c r="Y76" s="228"/>
      <c r="Z76" s="228"/>
      <c r="AA76" s="229">
        <v>0</v>
      </c>
      <c r="AB76" s="180"/>
      <c r="AC76" s="181"/>
      <c r="AD76" s="183"/>
      <c r="AE76" s="183"/>
      <c r="AF76" s="183"/>
      <c r="AG76" s="173"/>
      <c r="AH76" s="179"/>
      <c r="AI76" s="230">
        <v>0</v>
      </c>
      <c r="AJ76" s="243">
        <v>0</v>
      </c>
      <c r="AK76" s="174">
        <v>0</v>
      </c>
      <c r="AL76" s="181">
        <v>0</v>
      </c>
      <c r="AM76" s="181">
        <v>0</v>
      </c>
      <c r="AN76" s="172">
        <v>0</v>
      </c>
      <c r="AO76" s="172">
        <v>0</v>
      </c>
      <c r="AP76" s="172">
        <v>0</v>
      </c>
      <c r="AQ76" s="186"/>
      <c r="AR76" s="340">
        <v>0</v>
      </c>
      <c r="AS76" s="334">
        <v>114909</v>
      </c>
    </row>
    <row r="77" spans="1:45" s="155" customFormat="1" ht="13.5" x14ac:dyDescent="0.2">
      <c r="A77" s="169" t="s">
        <v>83</v>
      </c>
      <c r="B77" s="170" t="s">
        <v>246</v>
      </c>
      <c r="C77" s="171"/>
      <c r="D77" s="172"/>
      <c r="E77" s="173">
        <v>0</v>
      </c>
      <c r="F77" s="180"/>
      <c r="G77" s="181"/>
      <c r="H77" s="172">
        <v>0</v>
      </c>
      <c r="I77" s="172">
        <v>0</v>
      </c>
      <c r="J77" s="172">
        <v>0</v>
      </c>
      <c r="K77" s="181">
        <v>0</v>
      </c>
      <c r="L77" s="172">
        <v>23605</v>
      </c>
      <c r="M77" s="172">
        <v>59782</v>
      </c>
      <c r="N77" s="172"/>
      <c r="O77" s="172"/>
      <c r="P77" s="176">
        <v>83387</v>
      </c>
      <c r="Q77" s="174">
        <v>210</v>
      </c>
      <c r="R77" s="172">
        <v>0</v>
      </c>
      <c r="S77" s="172">
        <v>0</v>
      </c>
      <c r="T77" s="172">
        <v>0</v>
      </c>
      <c r="U77" s="172">
        <v>0</v>
      </c>
      <c r="V77" s="176">
        <v>210</v>
      </c>
      <c r="W77" s="178">
        <v>83597</v>
      </c>
      <c r="X77" s="179">
        <v>0</v>
      </c>
      <c r="Y77" s="228"/>
      <c r="Z77" s="228"/>
      <c r="AA77" s="229">
        <v>0</v>
      </c>
      <c r="AB77" s="180"/>
      <c r="AC77" s="181"/>
      <c r="AD77" s="183"/>
      <c r="AE77" s="183"/>
      <c r="AF77" s="183"/>
      <c r="AG77" s="173"/>
      <c r="AH77" s="179"/>
      <c r="AI77" s="230">
        <v>0</v>
      </c>
      <c r="AJ77" s="243">
        <v>0</v>
      </c>
      <c r="AK77" s="174">
        <v>0</v>
      </c>
      <c r="AL77" s="181">
        <v>0</v>
      </c>
      <c r="AM77" s="181">
        <v>0</v>
      </c>
      <c r="AN77" s="172">
        <v>0</v>
      </c>
      <c r="AO77" s="172">
        <v>0</v>
      </c>
      <c r="AP77" s="172">
        <v>0</v>
      </c>
      <c r="AQ77" s="186"/>
      <c r="AR77" s="340">
        <v>0</v>
      </c>
      <c r="AS77" s="334">
        <v>83597</v>
      </c>
    </row>
    <row r="78" spans="1:45" s="155" customFormat="1" ht="13.5" x14ac:dyDescent="0.2">
      <c r="A78" s="169" t="s">
        <v>84</v>
      </c>
      <c r="B78" s="170" t="s">
        <v>247</v>
      </c>
      <c r="C78" s="194"/>
      <c r="D78" s="172"/>
      <c r="E78" s="173">
        <v>0</v>
      </c>
      <c r="F78" s="180"/>
      <c r="G78" s="181"/>
      <c r="H78" s="172">
        <v>0</v>
      </c>
      <c r="I78" s="172">
        <v>0</v>
      </c>
      <c r="J78" s="172">
        <v>0</v>
      </c>
      <c r="K78" s="181">
        <v>0</v>
      </c>
      <c r="L78" s="172">
        <v>10887</v>
      </c>
      <c r="M78" s="172">
        <v>0</v>
      </c>
      <c r="N78" s="172"/>
      <c r="O78" s="172"/>
      <c r="P78" s="176">
        <v>10887</v>
      </c>
      <c r="Q78" s="174">
        <v>1</v>
      </c>
      <c r="R78" s="172">
        <v>0</v>
      </c>
      <c r="S78" s="172">
        <v>0</v>
      </c>
      <c r="T78" s="172">
        <v>0</v>
      </c>
      <c r="U78" s="172">
        <v>0</v>
      </c>
      <c r="V78" s="176">
        <v>1</v>
      </c>
      <c r="W78" s="178">
        <v>10888</v>
      </c>
      <c r="X78" s="179">
        <v>0</v>
      </c>
      <c r="Y78" s="228"/>
      <c r="Z78" s="228"/>
      <c r="AA78" s="229">
        <v>0</v>
      </c>
      <c r="AB78" s="180"/>
      <c r="AC78" s="181"/>
      <c r="AD78" s="183"/>
      <c r="AE78" s="183"/>
      <c r="AF78" s="183"/>
      <c r="AG78" s="173">
        <v>35860</v>
      </c>
      <c r="AH78" s="179"/>
      <c r="AI78" s="230">
        <v>0</v>
      </c>
      <c r="AJ78" s="243">
        <v>0</v>
      </c>
      <c r="AK78" s="174">
        <v>0</v>
      </c>
      <c r="AL78" s="181">
        <v>0</v>
      </c>
      <c r="AM78" s="181">
        <v>0</v>
      </c>
      <c r="AN78" s="172">
        <v>0</v>
      </c>
      <c r="AO78" s="172">
        <v>0</v>
      </c>
      <c r="AP78" s="172">
        <v>0</v>
      </c>
      <c r="AQ78" s="186"/>
      <c r="AR78" s="340">
        <v>0</v>
      </c>
      <c r="AS78" s="334">
        <v>46748</v>
      </c>
    </row>
    <row r="79" spans="1:45" s="155" customFormat="1" ht="13.5" x14ac:dyDescent="0.2">
      <c r="A79" s="211" t="s">
        <v>85</v>
      </c>
      <c r="B79" s="212" t="s">
        <v>248</v>
      </c>
      <c r="C79" s="213"/>
      <c r="D79" s="214"/>
      <c r="E79" s="215">
        <v>0</v>
      </c>
      <c r="F79" s="220"/>
      <c r="G79" s="221"/>
      <c r="H79" s="214">
        <v>36827</v>
      </c>
      <c r="I79" s="214">
        <v>1147031</v>
      </c>
      <c r="J79" s="214">
        <v>0</v>
      </c>
      <c r="K79" s="221">
        <v>0</v>
      </c>
      <c r="L79" s="214">
        <v>4027877</v>
      </c>
      <c r="M79" s="214">
        <v>0</v>
      </c>
      <c r="N79" s="214"/>
      <c r="O79" s="214"/>
      <c r="P79" s="217">
        <v>5211735</v>
      </c>
      <c r="Q79" s="216">
        <v>32277</v>
      </c>
      <c r="R79" s="214">
        <v>0</v>
      </c>
      <c r="S79" s="214">
        <v>0</v>
      </c>
      <c r="T79" s="214">
        <v>0</v>
      </c>
      <c r="U79" s="214">
        <v>0</v>
      </c>
      <c r="V79" s="217">
        <v>32277</v>
      </c>
      <c r="W79" s="218">
        <v>5244012</v>
      </c>
      <c r="X79" s="219">
        <v>12141</v>
      </c>
      <c r="Y79" s="238"/>
      <c r="Z79" s="238"/>
      <c r="AA79" s="239">
        <v>0</v>
      </c>
      <c r="AB79" s="220"/>
      <c r="AC79" s="221"/>
      <c r="AD79" s="222"/>
      <c r="AE79" s="222"/>
      <c r="AF79" s="222"/>
      <c r="AG79" s="215">
        <v>27</v>
      </c>
      <c r="AH79" s="219"/>
      <c r="AI79" s="244">
        <v>0</v>
      </c>
      <c r="AJ79" s="245">
        <v>0</v>
      </c>
      <c r="AK79" s="216">
        <v>0</v>
      </c>
      <c r="AL79" s="221">
        <v>0</v>
      </c>
      <c r="AM79" s="221">
        <v>0</v>
      </c>
      <c r="AN79" s="214">
        <v>0</v>
      </c>
      <c r="AO79" s="214">
        <v>0</v>
      </c>
      <c r="AP79" s="214">
        <v>4865</v>
      </c>
      <c r="AQ79" s="223"/>
      <c r="AR79" s="342">
        <v>4865</v>
      </c>
      <c r="AS79" s="338">
        <v>5261045</v>
      </c>
    </row>
    <row r="80" spans="1:45" s="155" customFormat="1" ht="13.5" x14ac:dyDescent="0.2">
      <c r="A80" s="226" t="s">
        <v>118</v>
      </c>
      <c r="B80" s="112" t="s">
        <v>249</v>
      </c>
      <c r="C80" s="113"/>
      <c r="D80" s="76"/>
      <c r="E80" s="106">
        <v>0</v>
      </c>
      <c r="F80" s="109"/>
      <c r="G80" s="85"/>
      <c r="H80" s="76">
        <v>410122</v>
      </c>
      <c r="I80" s="76">
        <v>0</v>
      </c>
      <c r="J80" s="76">
        <v>267</v>
      </c>
      <c r="K80" s="85">
        <v>0</v>
      </c>
      <c r="L80" s="76">
        <v>57469</v>
      </c>
      <c r="M80" s="76">
        <v>0</v>
      </c>
      <c r="N80" s="76"/>
      <c r="O80" s="137">
        <v>0</v>
      </c>
      <c r="P80" s="80">
        <v>467858</v>
      </c>
      <c r="Q80" s="83">
        <v>0</v>
      </c>
      <c r="R80" s="76">
        <v>0</v>
      </c>
      <c r="S80" s="76">
        <v>0</v>
      </c>
      <c r="T80" s="76">
        <v>0</v>
      </c>
      <c r="U80" s="76">
        <v>0</v>
      </c>
      <c r="V80" s="80">
        <v>0</v>
      </c>
      <c r="W80" s="107">
        <v>467858</v>
      </c>
      <c r="X80" s="108">
        <v>259203</v>
      </c>
      <c r="Y80" s="75"/>
      <c r="Z80" s="75"/>
      <c r="AA80" s="117">
        <v>0</v>
      </c>
      <c r="AB80" s="109"/>
      <c r="AC80" s="85"/>
      <c r="AD80" s="191"/>
      <c r="AE80" s="191"/>
      <c r="AF80" s="191"/>
      <c r="AG80" s="84">
        <v>1101170</v>
      </c>
      <c r="AH80" s="110"/>
      <c r="AI80" s="121">
        <v>0</v>
      </c>
      <c r="AJ80" s="246">
        <v>35021</v>
      </c>
      <c r="AK80" s="174">
        <v>766735</v>
      </c>
      <c r="AL80" s="85">
        <v>0</v>
      </c>
      <c r="AM80" s="85">
        <v>0</v>
      </c>
      <c r="AN80" s="76">
        <v>0</v>
      </c>
      <c r="AO80" s="76">
        <v>0</v>
      </c>
      <c r="AP80" s="76">
        <v>0</v>
      </c>
      <c r="AQ80" s="330">
        <v>242918</v>
      </c>
      <c r="AR80" s="81">
        <v>1044674</v>
      </c>
      <c r="AS80" s="111">
        <v>2872905</v>
      </c>
    </row>
    <row r="81" spans="1:45" s="155" customFormat="1" ht="14.25" thickBot="1" x14ac:dyDescent="0.25">
      <c r="A81" s="247" t="s">
        <v>91</v>
      </c>
      <c r="B81" s="141" t="s">
        <v>250</v>
      </c>
      <c r="C81" s="142">
        <v>0</v>
      </c>
      <c r="D81" s="143">
        <v>0</v>
      </c>
      <c r="E81" s="144">
        <v>0</v>
      </c>
      <c r="F81" s="145"/>
      <c r="G81" s="146"/>
      <c r="H81" s="143">
        <v>74893</v>
      </c>
      <c r="I81" s="143">
        <v>0</v>
      </c>
      <c r="J81" s="143">
        <v>2</v>
      </c>
      <c r="K81" s="143">
        <v>22960</v>
      </c>
      <c r="L81" s="143">
        <v>49708</v>
      </c>
      <c r="M81" s="143">
        <v>18461</v>
      </c>
      <c r="N81" s="143"/>
      <c r="O81" s="143">
        <v>0</v>
      </c>
      <c r="P81" s="147">
        <v>166024</v>
      </c>
      <c r="Q81" s="148">
        <v>1715</v>
      </c>
      <c r="R81" s="143">
        <v>0</v>
      </c>
      <c r="S81" s="143">
        <v>0</v>
      </c>
      <c r="T81" s="143">
        <v>944</v>
      </c>
      <c r="U81" s="143">
        <v>0</v>
      </c>
      <c r="V81" s="147">
        <v>2659</v>
      </c>
      <c r="W81" s="149">
        <v>168683</v>
      </c>
      <c r="X81" s="150">
        <v>215175</v>
      </c>
      <c r="Y81" s="151"/>
      <c r="Z81" s="151"/>
      <c r="AA81" s="152">
        <v>0</v>
      </c>
      <c r="AB81" s="145"/>
      <c r="AC81" s="146"/>
      <c r="AD81" s="248"/>
      <c r="AE81" s="248"/>
      <c r="AF81" s="248"/>
      <c r="AG81" s="144">
        <v>1353827</v>
      </c>
      <c r="AH81" s="150">
        <v>30897</v>
      </c>
      <c r="AI81" s="249">
        <v>0</v>
      </c>
      <c r="AJ81" s="250">
        <v>42065</v>
      </c>
      <c r="AK81" s="148">
        <v>41945</v>
      </c>
      <c r="AL81" s="146">
        <v>0</v>
      </c>
      <c r="AM81" s="146">
        <v>0</v>
      </c>
      <c r="AN81" s="143">
        <v>1323</v>
      </c>
      <c r="AO81" s="143">
        <v>0</v>
      </c>
      <c r="AP81" s="143">
        <v>0</v>
      </c>
      <c r="AQ81" s="331">
        <v>352131</v>
      </c>
      <c r="AR81" s="343">
        <v>437464</v>
      </c>
      <c r="AS81" s="153">
        <v>2206046</v>
      </c>
    </row>
    <row r="82" spans="1:45" ht="10.5" customHeight="1" thickTop="1" x14ac:dyDescent="0.2">
      <c r="A82" s="154"/>
      <c r="B82" s="154"/>
      <c r="C82" s="154"/>
      <c r="D82" s="154"/>
      <c r="E82" s="154"/>
      <c r="F82" s="154"/>
      <c r="G82" s="154"/>
      <c r="H82" s="154"/>
      <c r="I82" s="154"/>
      <c r="J82" s="154"/>
      <c r="K82" s="154"/>
      <c r="L82" s="154"/>
      <c r="M82" s="154"/>
      <c r="N82" s="154"/>
      <c r="O82" s="154"/>
      <c r="P82" s="154"/>
      <c r="Q82" s="154"/>
      <c r="R82" s="154"/>
      <c r="S82" s="154"/>
      <c r="T82" s="154"/>
      <c r="U82" s="154"/>
      <c r="V82" s="154"/>
      <c r="W82" s="154"/>
      <c r="X82" s="154"/>
      <c r="Y82" s="154"/>
      <c r="Z82" s="154"/>
      <c r="AA82" s="154"/>
      <c r="AB82" s="154"/>
      <c r="AC82" s="154"/>
      <c r="AD82" s="154"/>
      <c r="AE82" s="154"/>
      <c r="AF82" s="154"/>
      <c r="AG82" s="154"/>
      <c r="AH82" s="154"/>
      <c r="AI82" s="154"/>
      <c r="AJ82" s="154"/>
      <c r="AK82" s="154"/>
      <c r="AL82" s="154"/>
      <c r="AM82" s="154"/>
      <c r="AN82" s="154"/>
      <c r="AO82" s="154"/>
      <c r="AP82" s="154"/>
      <c r="AQ82" s="154"/>
    </row>
    <row r="83" spans="1:45" s="253" customFormat="1" ht="13.5" x14ac:dyDescent="0.25">
      <c r="AQ83" s="154"/>
      <c r="AS83" s="287">
        <v>44876</v>
      </c>
    </row>
    <row r="84" spans="1:45" s="253" customFormat="1" ht="11.25" customHeight="1" x14ac:dyDescent="0.2">
      <c r="AQ84" s="154"/>
    </row>
    <row r="85" spans="1:45" s="253" customFormat="1" ht="11.25" customHeight="1" x14ac:dyDescent="0.2">
      <c r="X85" s="253">
        <v>0</v>
      </c>
      <c r="AQ85" s="154"/>
    </row>
    <row r="86" spans="1:45" s="253" customFormat="1" ht="11.25" customHeight="1" x14ac:dyDescent="0.2">
      <c r="X86" s="253">
        <v>0</v>
      </c>
      <c r="AQ86" s="154"/>
    </row>
    <row r="87" spans="1:45" s="253" customFormat="1" ht="11.25" customHeight="1" x14ac:dyDescent="0.2">
      <c r="X87" s="253">
        <v>0</v>
      </c>
      <c r="AQ87" s="154"/>
    </row>
    <row r="88" spans="1:45" s="253" customFormat="1" ht="11.25" customHeight="1" x14ac:dyDescent="0.2">
      <c r="X88" s="253">
        <v>0</v>
      </c>
      <c r="AQ88" s="154"/>
    </row>
    <row r="89" spans="1:45" s="254" customFormat="1" ht="11.25" customHeight="1" x14ac:dyDescent="0.2">
      <c r="X89" s="254">
        <v>0</v>
      </c>
      <c r="AQ89" s="154"/>
    </row>
    <row r="90" spans="1:45" s="254" customFormat="1" ht="11.25" customHeight="1" x14ac:dyDescent="0.2">
      <c r="X90" s="254">
        <v>0</v>
      </c>
      <c r="AQ90" s="154"/>
    </row>
    <row r="91" spans="1:45" s="254" customFormat="1" ht="11.25" customHeight="1" x14ac:dyDescent="0.2">
      <c r="AQ91" s="154"/>
    </row>
    <row r="92" spans="1:45" s="254" customFormat="1" ht="11.25" customHeight="1" x14ac:dyDescent="0.2">
      <c r="AQ92" s="154"/>
    </row>
    <row r="93" spans="1:45" s="254" customFormat="1" ht="11.25" customHeight="1" x14ac:dyDescent="0.2">
      <c r="X93" s="254">
        <v>0</v>
      </c>
      <c r="AQ93" s="154"/>
    </row>
    <row r="94" spans="1:45" s="254" customFormat="1" ht="11.25" customHeight="1" x14ac:dyDescent="0.2">
      <c r="X94" s="254">
        <v>0</v>
      </c>
      <c r="AQ94" s="154"/>
    </row>
    <row r="95" spans="1:45" s="254" customFormat="1" ht="11.25" customHeight="1" x14ac:dyDescent="0.2">
      <c r="X95" s="254">
        <v>0</v>
      </c>
      <c r="AQ95" s="154"/>
    </row>
    <row r="96" spans="1:45" s="254" customFormat="1" ht="11.25" customHeight="1" x14ac:dyDescent="0.2">
      <c r="X96" s="254">
        <v>0</v>
      </c>
      <c r="AQ96" s="154"/>
    </row>
    <row r="97" spans="24:43" s="254" customFormat="1" ht="11.25" customHeight="1" x14ac:dyDescent="0.2">
      <c r="X97" s="254">
        <v>0</v>
      </c>
      <c r="AQ97" s="154"/>
    </row>
    <row r="98" spans="24:43" s="254" customFormat="1" ht="11.25" customHeight="1" x14ac:dyDescent="0.2">
      <c r="X98" s="254">
        <v>0</v>
      </c>
      <c r="AQ98" s="154"/>
    </row>
    <row r="99" spans="24:43" s="254" customFormat="1" ht="11.25" customHeight="1" x14ac:dyDescent="0.2">
      <c r="X99" s="254">
        <v>0</v>
      </c>
      <c r="AQ99" s="154"/>
    </row>
    <row r="100" spans="24:43" s="254" customFormat="1" ht="11.25" customHeight="1" x14ac:dyDescent="0.2">
      <c r="X100" s="254">
        <v>0</v>
      </c>
      <c r="AQ100" s="154"/>
    </row>
    <row r="101" spans="24:43" s="254" customFormat="1" ht="11.25" customHeight="1" x14ac:dyDescent="0.2">
      <c r="X101" s="254">
        <v>0</v>
      </c>
      <c r="AQ101" s="154"/>
    </row>
    <row r="102" spans="24:43" s="254" customFormat="1" ht="11.25" customHeight="1" x14ac:dyDescent="0.2">
      <c r="X102" s="254">
        <v>0</v>
      </c>
      <c r="AQ102" s="154"/>
    </row>
    <row r="103" spans="24:43" s="254" customFormat="1" ht="11.25" customHeight="1" x14ac:dyDescent="0.2">
      <c r="X103" s="254">
        <v>0</v>
      </c>
      <c r="AQ103" s="154"/>
    </row>
    <row r="104" spans="24:43" s="254" customFormat="1" ht="11.25" customHeight="1" x14ac:dyDescent="0.2">
      <c r="X104" s="254">
        <v>0</v>
      </c>
      <c r="AQ104" s="154"/>
    </row>
    <row r="105" spans="24:43" s="254" customFormat="1" ht="11.25" customHeight="1" x14ac:dyDescent="0.2">
      <c r="X105" s="254">
        <v>0</v>
      </c>
      <c r="AQ105" s="154"/>
    </row>
    <row r="106" spans="24:43" s="254" customFormat="1" ht="11.25" customHeight="1" x14ac:dyDescent="0.2">
      <c r="X106" s="254">
        <v>0</v>
      </c>
      <c r="AQ106" s="154"/>
    </row>
    <row r="107" spans="24:43" s="254" customFormat="1" ht="11.25" customHeight="1" x14ac:dyDescent="0.2">
      <c r="X107" s="254">
        <v>0</v>
      </c>
      <c r="AQ107" s="154"/>
    </row>
    <row r="108" spans="24:43" ht="11.25" customHeight="1" x14ac:dyDescent="0.2">
      <c r="X108">
        <v>0</v>
      </c>
      <c r="AQ108" s="154"/>
    </row>
    <row r="109" spans="24:43" ht="11.25" customHeight="1" x14ac:dyDescent="0.2">
      <c r="X109">
        <v>0</v>
      </c>
      <c r="AQ109" s="154"/>
    </row>
    <row r="110" spans="24:43" ht="11.25" customHeight="1" x14ac:dyDescent="0.2">
      <c r="X110">
        <v>0</v>
      </c>
    </row>
    <row r="111" spans="24:43" ht="11.25" customHeight="1" x14ac:dyDescent="0.2">
      <c r="X111">
        <v>0</v>
      </c>
    </row>
    <row r="112" spans="24:43" ht="11.25" customHeight="1" x14ac:dyDescent="0.2">
      <c r="X112">
        <v>0</v>
      </c>
    </row>
  </sheetData>
  <phoneticPr fontId="0" type="noConversion"/>
  <pageMargins left="0.27559055118110237" right="0.19685039370078741" top="0.26" bottom="0.19685039370078741" header="0.32" footer="0.19685039370078741"/>
  <pageSetup paperSize="9" scale="58" fitToWidth="3" pageOrder="overThenDown" orientation="portrait" r:id="rId1"/>
  <headerFooter alignWithMargins="0">
    <oddHeader>&amp;R&amp;9&amp;P/&amp;N</oddHeader>
  </headerFooter>
  <colBreaks count="2" manualBreakCount="2">
    <brk id="15" max="1048575" man="1"/>
    <brk id="23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Folha1"/>
  <dimension ref="A1:D50"/>
  <sheetViews>
    <sheetView showGridLines="0" showRowColHeaders="0" zoomScaleNormal="100" workbookViewId="0"/>
  </sheetViews>
  <sheetFormatPr defaultColWidth="0" defaultRowHeight="11.25" zeroHeight="1" x14ac:dyDescent="0.2"/>
  <cols>
    <col min="1" max="1" width="33.5703125" style="267" customWidth="1"/>
    <col min="2" max="3" width="14.140625" style="267" customWidth="1"/>
    <col min="4" max="4" width="28.7109375" style="267" customWidth="1"/>
    <col min="5" max="5" width="9.140625" style="267" customWidth="1"/>
    <col min="6" max="16384" width="0" style="267" hidden="1"/>
  </cols>
  <sheetData>
    <row r="1" spans="1:4" ht="12.75" x14ac:dyDescent="0.2">
      <c r="A1"/>
    </row>
    <row r="2" spans="1:4" ht="15.75" x14ac:dyDescent="0.25">
      <c r="A2" s="275" t="s">
        <v>119</v>
      </c>
    </row>
    <row r="3" spans="1:4" ht="12.75" x14ac:dyDescent="0.2">
      <c r="A3" s="276" t="s">
        <v>133</v>
      </c>
    </row>
    <row r="4" spans="1:4" x14ac:dyDescent="0.2"/>
    <row r="5" spans="1:4" x14ac:dyDescent="0.2"/>
    <row r="6" spans="1:4" x14ac:dyDescent="0.2">
      <c r="A6" s="274" t="s">
        <v>137</v>
      </c>
    </row>
    <row r="7" spans="1:4" x14ac:dyDescent="0.2"/>
    <row r="8" spans="1:4" ht="14.25" customHeight="1" x14ac:dyDescent="0.25">
      <c r="A8" s="357" t="s">
        <v>87</v>
      </c>
      <c r="B8" s="356" t="s">
        <v>86</v>
      </c>
      <c r="C8" s="356"/>
      <c r="D8" s="358" t="s">
        <v>98</v>
      </c>
    </row>
    <row r="9" spans="1:4" ht="14.25" customHeight="1" x14ac:dyDescent="0.25">
      <c r="A9" s="357"/>
      <c r="B9" s="277" t="s">
        <v>92</v>
      </c>
      <c r="C9" s="277" t="s">
        <v>93</v>
      </c>
      <c r="D9" s="358"/>
    </row>
    <row r="10" spans="1:4" ht="14.25" customHeight="1" x14ac:dyDescent="0.25">
      <c r="A10" s="284" t="s">
        <v>2</v>
      </c>
      <c r="B10" s="279">
        <v>1.028</v>
      </c>
      <c r="C10" s="280">
        <v>43040</v>
      </c>
      <c r="D10" s="278" t="s">
        <v>99</v>
      </c>
    </row>
    <row r="11" spans="1:4" ht="14.25" customHeight="1" x14ac:dyDescent="0.25">
      <c r="A11" s="284" t="s">
        <v>95</v>
      </c>
      <c r="B11" s="279">
        <v>1.0987</v>
      </c>
      <c r="C11" s="280">
        <v>46000</v>
      </c>
      <c r="D11" s="278" t="s">
        <v>99</v>
      </c>
    </row>
    <row r="12" spans="1:4" ht="14.25" customHeight="1" x14ac:dyDescent="0.25">
      <c r="A12" s="284" t="s">
        <v>89</v>
      </c>
      <c r="B12" s="279">
        <v>1.0508999999999999</v>
      </c>
      <c r="C12" s="280">
        <v>44000</v>
      </c>
      <c r="D12" s="278" t="s">
        <v>99</v>
      </c>
    </row>
    <row r="13" spans="1:4" ht="14.25" customHeight="1" x14ac:dyDescent="0.25">
      <c r="A13" s="284" t="s">
        <v>90</v>
      </c>
      <c r="B13" s="279">
        <v>1.0449999999999999</v>
      </c>
      <c r="C13" s="280">
        <v>43750</v>
      </c>
      <c r="D13" s="278" t="s">
        <v>99</v>
      </c>
    </row>
    <row r="14" spans="1:4" ht="14.25" customHeight="1" x14ac:dyDescent="0.25">
      <c r="A14" s="284" t="s">
        <v>7</v>
      </c>
      <c r="B14" s="279">
        <v>1.0269999999999999</v>
      </c>
      <c r="C14" s="280">
        <v>43000</v>
      </c>
      <c r="D14" s="278" t="s">
        <v>99</v>
      </c>
    </row>
    <row r="15" spans="1:4" ht="14.25" customHeight="1" x14ac:dyDescent="0.25">
      <c r="A15" s="284" t="s">
        <v>88</v>
      </c>
      <c r="B15" s="279">
        <v>1.0175000000000001</v>
      </c>
      <c r="C15" s="280">
        <v>42600</v>
      </c>
      <c r="D15" s="278" t="s">
        <v>99</v>
      </c>
    </row>
    <row r="16" spans="1:4" ht="14.25" customHeight="1" x14ac:dyDescent="0.25">
      <c r="A16" s="284" t="s">
        <v>8</v>
      </c>
      <c r="B16" s="279">
        <v>0.95540000000000003</v>
      </c>
      <c r="C16" s="280">
        <v>40000</v>
      </c>
      <c r="D16" s="278" t="s">
        <v>99</v>
      </c>
    </row>
    <row r="17" spans="1:4" ht="14.25" customHeight="1" x14ac:dyDescent="0.25">
      <c r="A17" s="284" t="s">
        <v>9</v>
      </c>
      <c r="B17" s="279">
        <v>1.0508999999999999</v>
      </c>
      <c r="C17" s="280">
        <v>44000</v>
      </c>
      <c r="D17" s="278" t="s">
        <v>99</v>
      </c>
    </row>
    <row r="18" spans="1:4" ht="14.25" customHeight="1" x14ac:dyDescent="0.25">
      <c r="A18" s="284" t="s">
        <v>10</v>
      </c>
      <c r="B18" s="279">
        <v>0.76400000000000001</v>
      </c>
      <c r="C18" s="280">
        <v>32000</v>
      </c>
      <c r="D18" s="278" t="s">
        <v>99</v>
      </c>
    </row>
    <row r="19" spans="1:4" ht="14.25" customHeight="1" x14ac:dyDescent="0.25">
      <c r="A19" s="284" t="s">
        <v>12</v>
      </c>
      <c r="B19" s="279">
        <v>1.0032000000000001</v>
      </c>
      <c r="C19" s="280">
        <v>42000</v>
      </c>
      <c r="D19" s="278" t="s">
        <v>99</v>
      </c>
    </row>
    <row r="20" spans="1:4" ht="14.25" customHeight="1" x14ac:dyDescent="0.25">
      <c r="A20" s="284" t="s">
        <v>13</v>
      </c>
      <c r="B20" s="279">
        <v>0.93149999999999999</v>
      </c>
      <c r="C20" s="280">
        <v>39000</v>
      </c>
      <c r="D20" s="278" t="s">
        <v>99</v>
      </c>
    </row>
    <row r="21" spans="1:4" ht="14.25" customHeight="1" x14ac:dyDescent="0.25">
      <c r="A21" s="284" t="s">
        <v>14</v>
      </c>
      <c r="B21" s="279">
        <v>0.95540000000000003</v>
      </c>
      <c r="C21" s="280">
        <v>40000</v>
      </c>
      <c r="D21" s="278" t="s">
        <v>99</v>
      </c>
    </row>
    <row r="22" spans="1:4" ht="14.25" customHeight="1" x14ac:dyDescent="0.25">
      <c r="A22" s="284" t="s">
        <v>15</v>
      </c>
      <c r="B22" s="279">
        <v>1.0414000000000001</v>
      </c>
      <c r="C22" s="280">
        <v>43600</v>
      </c>
      <c r="D22" s="278" t="s">
        <v>99</v>
      </c>
    </row>
    <row r="23" spans="1:4" ht="14.25" customHeight="1" x14ac:dyDescent="0.25">
      <c r="A23" s="284" t="s">
        <v>16</v>
      </c>
      <c r="B23" s="279">
        <v>1.19</v>
      </c>
      <c r="C23" s="280">
        <v>49820</v>
      </c>
      <c r="D23" s="278" t="s">
        <v>99</v>
      </c>
    </row>
    <row r="24" spans="1:4" ht="14.25" customHeight="1" x14ac:dyDescent="0.25">
      <c r="A24" s="284" t="s">
        <v>96</v>
      </c>
      <c r="B24" s="279">
        <v>0.59150000000000003</v>
      </c>
      <c r="C24" s="280">
        <v>24765</v>
      </c>
      <c r="D24" s="278" t="s">
        <v>111</v>
      </c>
    </row>
    <row r="25" spans="1:4" ht="14.25" customHeight="1" x14ac:dyDescent="0.25">
      <c r="A25" s="284" t="s">
        <v>97</v>
      </c>
      <c r="B25" s="279">
        <v>0.64949999999999997</v>
      </c>
      <c r="C25" s="280">
        <v>27193</v>
      </c>
      <c r="D25" s="278" t="s">
        <v>111</v>
      </c>
    </row>
    <row r="26" spans="1:4" ht="14.25" customHeight="1" x14ac:dyDescent="0.25">
      <c r="A26" s="284" t="s">
        <v>0</v>
      </c>
      <c r="B26" s="279">
        <v>0.67900000000000005</v>
      </c>
      <c r="C26" s="280">
        <v>28428</v>
      </c>
      <c r="D26" s="278" t="s">
        <v>111</v>
      </c>
    </row>
    <row r="27" spans="1:4" ht="14.25" customHeight="1" x14ac:dyDescent="0.25">
      <c r="A27" s="284" t="s">
        <v>148</v>
      </c>
      <c r="B27" s="279">
        <v>0.30840000000000001</v>
      </c>
      <c r="C27" s="280">
        <f>B27*4.1868*10000</f>
        <v>12912</v>
      </c>
      <c r="D27" s="278" t="s">
        <v>111</v>
      </c>
    </row>
    <row r="28" spans="1:4" ht="14.25" customHeight="1" x14ac:dyDescent="0.25">
      <c r="A28" s="284" t="s">
        <v>261</v>
      </c>
      <c r="B28" s="279">
        <v>0.25</v>
      </c>
      <c r="C28" s="280">
        <f t="shared" ref="C28:C36" si="0">B28*4.1868*10000</f>
        <v>10467</v>
      </c>
      <c r="D28" s="278" t="s">
        <v>111</v>
      </c>
    </row>
    <row r="29" spans="1:4" ht="14.25" customHeight="1" x14ac:dyDescent="0.25">
      <c r="A29" s="284" t="s">
        <v>265</v>
      </c>
      <c r="B29" s="279">
        <v>0.18729999999999999</v>
      </c>
      <c r="C29" s="280">
        <f t="shared" si="0"/>
        <v>7842</v>
      </c>
      <c r="D29" s="278" t="s">
        <v>111</v>
      </c>
    </row>
    <row r="30" spans="1:4" ht="14.25" customHeight="1" x14ac:dyDescent="0.25">
      <c r="A30" s="284" t="s">
        <v>262</v>
      </c>
      <c r="B30" s="279">
        <v>0.45</v>
      </c>
      <c r="C30" s="280">
        <f t="shared" si="0"/>
        <v>18841</v>
      </c>
      <c r="D30" s="278" t="s">
        <v>111</v>
      </c>
    </row>
    <row r="31" spans="1:4" ht="14.25" customHeight="1" x14ac:dyDescent="0.25">
      <c r="A31" s="284" t="s">
        <v>24</v>
      </c>
      <c r="B31" s="279">
        <v>0.17299999999999999</v>
      </c>
      <c r="C31" s="280">
        <f t="shared" si="0"/>
        <v>7243</v>
      </c>
      <c r="D31" s="278" t="s">
        <v>111</v>
      </c>
    </row>
    <row r="32" spans="1:4" ht="14.25" customHeight="1" x14ac:dyDescent="0.25">
      <c r="A32" s="284" t="s">
        <v>266</v>
      </c>
      <c r="B32" s="279">
        <v>0.28089999999999998</v>
      </c>
      <c r="C32" s="280">
        <f t="shared" si="0"/>
        <v>11761</v>
      </c>
      <c r="D32" s="278" t="s">
        <v>111</v>
      </c>
    </row>
    <row r="33" spans="1:4" ht="14.25" customHeight="1" x14ac:dyDescent="0.25">
      <c r="A33" s="284" t="s">
        <v>263</v>
      </c>
      <c r="B33" s="279">
        <v>0.88400000000000001</v>
      </c>
      <c r="C33" s="280">
        <f t="shared" si="0"/>
        <v>37011</v>
      </c>
      <c r="D33" s="278" t="s">
        <v>111</v>
      </c>
    </row>
    <row r="34" spans="1:4" ht="14.25" customHeight="1" x14ac:dyDescent="0.25">
      <c r="A34" s="284" t="s">
        <v>264</v>
      </c>
      <c r="B34" s="279">
        <v>0.67400000000000004</v>
      </c>
      <c r="C34" s="280">
        <f t="shared" si="0"/>
        <v>28219</v>
      </c>
      <c r="D34" s="278" t="s">
        <v>99</v>
      </c>
    </row>
    <row r="35" spans="1:4" ht="14.25" customHeight="1" x14ac:dyDescent="0.25">
      <c r="A35" s="284" t="s">
        <v>267</v>
      </c>
      <c r="B35" s="279">
        <v>0.70499999999999996</v>
      </c>
      <c r="C35" s="280">
        <f t="shared" si="0"/>
        <v>29517</v>
      </c>
      <c r="D35" s="278" t="s">
        <v>99</v>
      </c>
    </row>
    <row r="36" spans="1:4" ht="14.25" customHeight="1" x14ac:dyDescent="0.25">
      <c r="A36" s="284" t="s">
        <v>104</v>
      </c>
      <c r="B36" s="279">
        <v>0.40600000000000003</v>
      </c>
      <c r="C36" s="280">
        <f t="shared" si="0"/>
        <v>16998</v>
      </c>
      <c r="D36" s="278" t="s">
        <v>111</v>
      </c>
    </row>
    <row r="37" spans="1:4" ht="14.25" customHeight="1" x14ac:dyDescent="0.25">
      <c r="A37" s="278"/>
      <c r="B37" s="279"/>
      <c r="C37" s="280"/>
      <c r="D37" s="278"/>
    </row>
    <row r="38" spans="1:4" ht="13.5" x14ac:dyDescent="0.25">
      <c r="A38" s="357" t="s">
        <v>87</v>
      </c>
      <c r="B38" s="356" t="s">
        <v>86</v>
      </c>
      <c r="C38" s="356"/>
      <c r="D38" s="358" t="s">
        <v>98</v>
      </c>
    </row>
    <row r="39" spans="1:4" ht="15.75" x14ac:dyDescent="0.25">
      <c r="A39" s="357"/>
      <c r="B39" s="277" t="s">
        <v>149</v>
      </c>
      <c r="C39" s="277" t="s">
        <v>150</v>
      </c>
      <c r="D39" s="358"/>
    </row>
    <row r="40" spans="1:4" ht="27" x14ac:dyDescent="0.2">
      <c r="A40" s="285" t="s">
        <v>94</v>
      </c>
      <c r="B40" s="281">
        <v>0.90380000000000005</v>
      </c>
      <c r="C40" s="282">
        <v>37840</v>
      </c>
      <c r="D40" s="286" t="s">
        <v>112</v>
      </c>
    </row>
    <row r="41" spans="1:4" ht="13.5" x14ac:dyDescent="0.25">
      <c r="A41" s="285" t="s">
        <v>25</v>
      </c>
      <c r="B41" s="283">
        <v>0.51400000000000001</v>
      </c>
      <c r="C41" s="280">
        <f>B41*4.1868*10000</f>
        <v>21520</v>
      </c>
      <c r="D41" s="278" t="s">
        <v>111</v>
      </c>
    </row>
    <row r="42" spans="1:4" x14ac:dyDescent="0.2"/>
    <row r="43" spans="1:4" x14ac:dyDescent="0.2"/>
    <row r="44" spans="1:4" x14ac:dyDescent="0.2"/>
    <row r="45" spans="1:4" x14ac:dyDescent="0.2"/>
    <row r="46" spans="1:4" x14ac:dyDescent="0.2"/>
    <row r="47" spans="1:4" x14ac:dyDescent="0.2"/>
    <row r="48" spans="1:4" x14ac:dyDescent="0.2"/>
    <row r="49" x14ac:dyDescent="0.2"/>
    <row r="50" x14ac:dyDescent="0.2"/>
  </sheetData>
  <mergeCells count="6">
    <mergeCell ref="B8:C8"/>
    <mergeCell ref="A8:A9"/>
    <mergeCell ref="D8:D9"/>
    <mergeCell ref="A38:A39"/>
    <mergeCell ref="B38:C38"/>
    <mergeCell ref="D38:D39"/>
  </mergeCells>
  <phoneticPr fontId="8" type="noConversion"/>
  <printOptions horizontalCentered="1"/>
  <pageMargins left="0.74803149606299213" right="0.74803149606299213" top="0.98425196850393704" bottom="0.98425196850393704" header="0" footer="0"/>
  <pageSetup paperSize="9" scale="75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3</vt:i4>
      </vt:variant>
      <vt:variant>
        <vt:lpstr>Intervalos com Nome</vt:lpstr>
      </vt:variant>
      <vt:variant>
        <vt:i4>2</vt:i4>
      </vt:variant>
    </vt:vector>
  </HeadingPairs>
  <TitlesOfParts>
    <vt:vector size="5" baseType="lpstr">
      <vt:lpstr>Info</vt:lpstr>
      <vt:lpstr>BE</vt:lpstr>
      <vt:lpstr>PCIs</vt:lpstr>
      <vt:lpstr>Info!Área_de_Impressão</vt:lpstr>
      <vt:lpstr>BE!Títulos_de_Impressão</vt:lpstr>
    </vt:vector>
  </TitlesOfParts>
  <Company>Direcção Geral de Energia e Geologia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Paulo Salteiro Rodrigues</dc:creator>
  <cp:lastModifiedBy>Paulo Salteiro Rodrigues (DGEG)</cp:lastModifiedBy>
  <cp:lastPrinted>2016-01-18T16:19:45Z</cp:lastPrinted>
  <dcterms:created xsi:type="dcterms:W3CDTF">2008-12-10T15:32:32Z</dcterms:created>
  <dcterms:modified xsi:type="dcterms:W3CDTF">2022-11-11T15:58:28Z</dcterms:modified>
</cp:coreProperties>
</file>