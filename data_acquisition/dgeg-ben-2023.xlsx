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H:\DSPEE\Publicacoes\BE-Completo\BE-XLS\"/>
    </mc:Choice>
  </mc:AlternateContent>
  <xr:revisionPtr revIDLastSave="0" documentId="13_ncr:1_{53084C4D-3182-45B0-8377-18BFC90D24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Info!$A$1:$C$111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2" i="3"/>
</calcChain>
</file>

<file path=xl/sharedStrings.xml><?xml version="1.0" encoding="utf-8"?>
<sst xmlns="http://schemas.openxmlformats.org/spreadsheetml/2006/main" count="443" uniqueCount="347">
  <si>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</si>
  <si>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</si>
  <si>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</si>
  <si>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</si>
  <si>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</si>
  <si>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</si>
  <si>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</si>
  <si>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</si>
  <si>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</si>
  <si>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</si>
  <si>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</si>
  <si>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</si>
  <si>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</si>
  <si>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</si>
  <si>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</si>
  <si>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</si>
  <si>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</si>
  <si>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</si>
  <si>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</si>
  <si>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</si>
  <si>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</si>
  <si>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</si>
  <si>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</si>
  <si>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</si>
  <si>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</si>
  <si>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</si>
  <si>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</si>
  <si>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</si>
  <si>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</si>
  <si>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</si>
  <si>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</si>
  <si>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</si>
  <si>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</si>
  <si>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</si>
  <si>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</si>
  <si>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</si>
  <si>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</si>
  <si>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</si>
  <si>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</si>
  <si>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</si>
  <si>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</si>
  <si>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</si>
  <si>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</si>
  <si>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</si>
  <si>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</si>
  <si>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</si>
  <si>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</si>
  <si>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</si>
  <si>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</si>
  <si>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</si>
  <si>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</si>
  <si>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</si>
  <si>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</si>
  <si>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</si>
  <si>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</si>
  <si>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</si>
  <si>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</si>
  <si>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</si>
  <si>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</si>
  <si>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</si>
  <si>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</si>
  <si>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</si>
  <si>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</si>
  <si>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</si>
  <si>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</si>
  <si>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</si>
  <si>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</si>
  <si>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</si>
  <si>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</si>
  <si>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</si>
  <si>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</si>
  <si>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</si>
  <si>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</si>
  <si>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</si>
  <si>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</si>
  <si>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</si>
  <si>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</si>
  <si>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</si>
  <si>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</si>
  <si>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</si>
  <si>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</si>
  <si>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</si>
  <si>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</si>
  <si>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</si>
  <si>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</si>
  <si>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</si>
  <si>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</si>
  <si>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</si>
  <si>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</si>
  <si>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</si>
  <si>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</si>
  <si>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</si>
  <si>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</si>
  <si>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</si>
  <si>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</si>
  <si>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</si>
  <si>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</si>
  <si>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</si>
  <si>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</si>
  <si>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</si>
  <si>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</si>
  <si>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</si>
  <si>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</si>
  <si>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</si>
  <si>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</si>
  <si>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</si>
  <si>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</si>
  <si>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</si>
  <si>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</si>
  <si>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</si>
  <si>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</si>
  <si>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</si>
  <si>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</si>
  <si>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</si>
  <si>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</si>
  <si>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</si>
  <si>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</si>
  <si>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</si>
  <si>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</si>
  <si>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</si>
  <si>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</si>
  <si>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</si>
  <si>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</si>
  <si>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</si>
  <si>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</si>
  <si>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</si>
  <si>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</si>
  <si>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</si>
  <si>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</si>
  <si>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</si>
  <si>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</si>
  <si>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</si>
  <si>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</si>
  <si>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</si>
  <si>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</si>
  <si>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</si>
  <si>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</si>
  <si>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</si>
  <si>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</si>
  <si>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</si>
  <si>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</si>
  <si>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</si>
  <si>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</si>
  <si>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</si>
  <si>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</si>
  <si>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</si>
  <si>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</si>
  <si>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</si>
  <si>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</si>
  <si>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</si>
  <si>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</si>
  <si>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</si>
  <si>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</si>
  <si>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</si>
  <si>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</si>
  <si>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</si>
  <si>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</si>
  <si>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</si>
  <si>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</si>
  <si>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</si>
  <si>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</si>
  <si>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</si>
  <si>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</si>
  <si>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</si>
  <si>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</si>
  <si>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</si>
  <si>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</si>
  <si>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</si>
  <si>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</si>
  <si>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</si>
  <si>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</si>
  <si>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</si>
  <si>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</si>
  <si>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</si>
  <si>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</si>
  <si>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</si>
  <si>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</si>
  <si>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</si>
  <si>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</si>
  <si>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</si>
  <si>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</si>
  <si>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</si>
  <si>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</si>
  <si>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</si>
  <si>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</si>
  <si>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</si>
  <si>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</si>
  <si>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</si>
  <si>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</si>
  <si>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</si>
  <si>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</si>
  <si>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</si>
  <si>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</si>
  <si>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</si>
  <si>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</si>
  <si>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</si>
  <si>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</si>
  <si>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</si>
  <si>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</si>
  <si>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</si>
  <si>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</si>
  <si>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</si>
  <si>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</si>
  <si>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</si>
  <si>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</si>
  <si>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</si>
  <si>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</si>
  <si>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</si>
  <si>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</si>
  <si>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</si>
  <si>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</si>
  <si>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</si>
  <si>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</si>
  <si>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</si>
  <si>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</si>
  <si>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</si>
  <si>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</si>
  <si>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</si>
  <si>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</si>
  <si>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</si>
  <si>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</si>
  <si>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</si>
  <si>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</si>
  <si>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GPL (Butano, Propano e Gas Auto)</t>
  </si>
  <si>
    <t>Petróleo Bruto</t>
  </si>
  <si>
    <t>kJ/kg</t>
  </si>
  <si>
    <t>tep/ton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</si>
  <si>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</si>
  <si>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</si>
  <si>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</si>
  <si>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</si>
  <si>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</si>
  <si>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</si>
  <si>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</si>
  <si>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</si>
  <si>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</si>
  <si>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</si>
  <si>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</si>
  <si>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</si>
  <si>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</si>
  <si>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</si>
  <si>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</si>
  <si>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</si>
  <si>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</si>
  <si>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</si>
  <si>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</si>
  <si>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</si>
  <si>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</si>
  <si>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</si>
  <si>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</si>
  <si>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</si>
  <si>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</si>
  <si>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</si>
  <si>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</si>
  <si>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</si>
  <si>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</si>
  <si>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</si>
  <si>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</si>
  <si>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</si>
  <si>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</si>
  <si>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</si>
  <si>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</si>
  <si>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</si>
  <si>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</si>
  <si>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</si>
  <si>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</si>
  <si>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</si>
  <si>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</si>
  <si>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</si>
  <si>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</si>
  <si>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</si>
  <si>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</si>
  <si>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</si>
  <si>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</si>
  <si>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</si>
  <si>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</si>
  <si>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</si>
  <si>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</si>
  <si>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</si>
  <si>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</si>
  <si>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</si>
  <si>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</si>
  <si>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</si>
  <si>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</si>
  <si>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</si>
  <si>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</si>
  <si>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</si>
  <si>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</si>
  <si>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</si>
  <si>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</si>
  <si>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</si>
  <si>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</si>
  <si>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</si>
  <si>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</si>
  <si>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</si>
  <si>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</si>
  <si>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</si>
  <si>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</si>
  <si>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</si>
  <si>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</si>
  <si>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</si>
  <si>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</si>
  <si>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</si>
  <si>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</si>
  <si>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</si>
  <si>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</si>
  <si>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</si>
  <si>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</si>
  <si>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</si>
  <si>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</si>
  <si>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</si>
  <si>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</si>
  <si>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</si>
  <si>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</si>
  <si>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</si>
  <si>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</si>
  <si>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</si>
  <si>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</si>
  <si>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</si>
  <si>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</si>
  <si>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</si>
  <si>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</si>
  <si>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</si>
  <si>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</si>
  <si>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</si>
  <si>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</si>
  <si>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</si>
  <si>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</si>
  <si>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</si>
  <si>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</si>
  <si>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</si>
  <si>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</si>
  <si>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</si>
  <si>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</si>
  <si>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</si>
  <si>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</si>
  <si>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</si>
  <si>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O consumo de lenhas no sector doméstico, de acordo com os resultados do  "Inquérito ao Consumo de Energia no Sector Doméstico" de 2020 (ICESD2020). Fonte INE/DGEG.</t>
  </si>
  <si>
    <t>Os consumos de GPL e gasóleo de aquecimento no sector doméstico foram estimados tendo por base os resultados do ICESD2020.</t>
  </si>
  <si>
    <t>Biodiesel - FAME</t>
  </si>
  <si>
    <t>HVO (Óleo Vegetal Hidrogenado)</t>
  </si>
  <si>
    <t>Movimentos associados à produção e consumo de hidrogénio.</t>
  </si>
  <si>
    <t>Movimentos associados ao setor da petroquímica, nomeadamente consumo e devolução de produtos intermédios à refinação.</t>
  </si>
  <si>
    <t>Considera apenas a fração renovável de RSU de acordo com a separação de biogénicos / não-biogénicos determinados pela APA.</t>
  </si>
  <si>
    <t>ICESD2020</t>
  </si>
  <si>
    <t xml:space="preserve">Inquérito ao Consumo de Energia no Sector Doméstico de 2020 </t>
  </si>
  <si>
    <t>PCIs utilizados no balanço energético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</si>
</sst>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00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3" fillId="0" borderId="36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Alignment="1">
      <alignment vertical="top"/>
    </xf>
    <xf numFmtId="0" fontId="6" fillId="0" borderId="0" xfId="3"/>
    <xf numFmtId="0" fontId="12" fillId="0" borderId="0" xfId="3" applyFont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Alignment="1">
      <alignment horizontal="left" indent="1"/>
    </xf>
    <xf numFmtId="0" fontId="2" fillId="0" borderId="0" xfId="3" applyFont="1"/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horizontal="right" vertical="top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horizontal="left" vertical="top" indent="1"/>
    </xf>
    <xf numFmtId="0" fontId="11" fillId="0" borderId="0" xfId="3" applyFont="1" applyAlignment="1">
      <alignment horizontal="left" vertical="top"/>
    </xf>
    <xf numFmtId="0" fontId="11" fillId="0" borderId="0" xfId="3" applyFont="1" applyAlignment="1">
      <alignment horizontal="left" vertical="top" wrapText="1"/>
    </xf>
    <xf numFmtId="0" fontId="17" fillId="0" borderId="85" xfId="3" applyFont="1" applyBorder="1" applyAlignment="1">
      <alignment horizontal="left" vertical="top" indent="1"/>
    </xf>
    <xf numFmtId="0" fontId="11" fillId="0" borderId="0" xfId="3" applyFont="1" applyAlignment="1">
      <alignment horizontal="right" vertical="top" wrapText="1"/>
    </xf>
    <xf numFmtId="0" fontId="11" fillId="0" borderId="0" xfId="3" applyFont="1" applyAlignment="1">
      <alignment horizontal="left" vertical="center" indent="3"/>
    </xf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center"/>
    </xf>
    <xf numFmtId="0" fontId="11" fillId="0" borderId="0" xfId="3" applyFont="1" applyAlignment="1">
      <alignment horizontal="left" vertical="top" indent="5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/>
    </xf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7" fillId="0" borderId="0" xfId="3" applyFont="1" applyAlignment="1">
      <alignment horizontal="left" indent="4"/>
    </xf>
    <xf numFmtId="0" fontId="12" fillId="0" borderId="0" xfId="3" applyFont="1" applyAlignment="1">
      <alignment horizontal="left" indent="4"/>
    </xf>
    <xf numFmtId="3" fontId="4" fillId="0" borderId="0" xfId="3" applyNumberFormat="1" applyFont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>
      <alignment vertical="center"/>
    </xf>
    <xf numFmtId="165" fontId="3" fillId="5" borderId="17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2" borderId="17" xfId="0" applyNumberFormat="1" applyFont="1" applyFill="1" applyBorder="1" applyAlignment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Alignment="1">
      <alignment horizontal="left" indent="4"/>
    </xf>
    <xf numFmtId="0" fontId="21" fillId="0" borderId="0" xfId="3" applyFont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3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horizontal="left" vertical="center" indent="1"/>
    </xf>
    <xf numFmtId="0" fontId="4" fillId="0" borderId="91" xfId="0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3" fontId="4" fillId="0" borderId="34" xfId="0" applyNumberFormat="1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37" xfId="0" applyNumberFormat="1" applyFont="1" applyBorder="1" applyAlignment="1">
      <alignment vertical="center"/>
    </xf>
    <xf numFmtId="3" fontId="4" fillId="0" borderId="38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0" fillId="0" borderId="92" xfId="0" applyNumberFormat="1" applyBorder="1"/>
    <xf numFmtId="3" fontId="4" fillId="0" borderId="93" xfId="0" applyNumberFormat="1" applyFont="1" applyBorder="1" applyAlignment="1">
      <alignment vertical="center"/>
    </xf>
    <xf numFmtId="3" fontId="4" fillId="0" borderId="94" xfId="0" applyNumberFormat="1" applyFont="1" applyBorder="1" applyAlignment="1">
      <alignment vertical="center"/>
    </xf>
    <xf numFmtId="3" fontId="4" fillId="0" borderId="95" xfId="0" applyNumberFormat="1" applyFont="1" applyBorder="1" applyAlignment="1">
      <alignment vertical="center"/>
    </xf>
    <xf numFmtId="3" fontId="4" fillId="0" borderId="96" xfId="0" applyNumberFormat="1" applyFont="1" applyBorder="1" applyAlignment="1">
      <alignment vertical="center"/>
    </xf>
    <xf numFmtId="3" fontId="4" fillId="0" borderId="97" xfId="0" applyNumberFormat="1" applyFont="1" applyBorder="1" applyAlignment="1">
      <alignment vertical="center"/>
    </xf>
    <xf numFmtId="3" fontId="4" fillId="0" borderId="98" xfId="0" applyNumberFormat="1" applyFont="1" applyBorder="1" applyAlignment="1">
      <alignment vertical="center"/>
    </xf>
    <xf numFmtId="3" fontId="4" fillId="0" borderId="99" xfId="0" applyNumberFormat="1" applyFont="1" applyBorder="1" applyAlignment="1">
      <alignment vertical="center"/>
    </xf>
    <xf numFmtId="3" fontId="4" fillId="0" borderId="100" xfId="0" applyNumberFormat="1" applyFont="1" applyBorder="1" applyAlignment="1">
      <alignment vertical="center"/>
    </xf>
    <xf numFmtId="3" fontId="4" fillId="0" borderId="102" xfId="0" applyNumberFormat="1" applyFont="1" applyBorder="1" applyAlignment="1">
      <alignment vertical="center"/>
    </xf>
    <xf numFmtId="3" fontId="4" fillId="0" borderId="103" xfId="0" applyNumberFormat="1" applyFont="1" applyBorder="1" applyAlignment="1">
      <alignment vertical="center"/>
    </xf>
    <xf numFmtId="3" fontId="4" fillId="0" borderId="104" xfId="0" applyNumberFormat="1" applyFont="1" applyBorder="1" applyAlignment="1">
      <alignment vertical="center"/>
    </xf>
    <xf numFmtId="3" fontId="4" fillId="0" borderId="105" xfId="0" applyNumberFormat="1" applyFont="1" applyBorder="1" applyAlignment="1">
      <alignment vertical="center"/>
    </xf>
    <xf numFmtId="3" fontId="4" fillId="0" borderId="106" xfId="0" applyNumberFormat="1" applyFont="1" applyBorder="1" applyAlignment="1">
      <alignment vertical="center"/>
    </xf>
    <xf numFmtId="3" fontId="4" fillId="0" borderId="107" xfId="0" applyNumberFormat="1" applyFont="1" applyBorder="1" applyAlignment="1">
      <alignment vertical="center"/>
    </xf>
    <xf numFmtId="3" fontId="4" fillId="0" borderId="108" xfId="0" applyNumberFormat="1" applyFont="1" applyBorder="1" applyAlignment="1">
      <alignment vertical="center"/>
    </xf>
    <xf numFmtId="3" fontId="4" fillId="0" borderId="109" xfId="0" applyNumberFormat="1" applyFont="1" applyBorder="1" applyAlignment="1">
      <alignment vertical="center"/>
    </xf>
    <xf numFmtId="3" fontId="4" fillId="0" borderId="110" xfId="0" applyNumberFormat="1" applyFont="1" applyBorder="1" applyAlignment="1">
      <alignment vertical="center"/>
    </xf>
    <xf numFmtId="3" fontId="3" fillId="0" borderId="111" xfId="0" applyNumberFormat="1" applyFont="1" applyBorder="1" applyAlignment="1">
      <alignment vertical="center"/>
    </xf>
    <xf numFmtId="3" fontId="3" fillId="0" borderId="112" xfId="0" applyNumberFormat="1" applyFont="1" applyBorder="1" applyAlignment="1">
      <alignment vertical="center"/>
    </xf>
    <xf numFmtId="3" fontId="3" fillId="0" borderId="113" xfId="0" applyNumberFormat="1" applyFont="1" applyBorder="1" applyAlignment="1">
      <alignment vertical="center"/>
    </xf>
    <xf numFmtId="3" fontId="3" fillId="0" borderId="114" xfId="0" applyNumberFormat="1" applyFont="1" applyBorder="1" applyAlignment="1">
      <alignment vertical="center"/>
    </xf>
    <xf numFmtId="3" fontId="3" fillId="0" borderId="115" xfId="0" applyNumberFormat="1" applyFont="1" applyBorder="1" applyAlignment="1">
      <alignment vertical="center"/>
    </xf>
    <xf numFmtId="3" fontId="3" fillId="0" borderId="116" xfId="0" applyNumberFormat="1" applyFont="1" applyBorder="1" applyAlignment="1">
      <alignment vertical="center"/>
    </xf>
    <xf numFmtId="3" fontId="3" fillId="0" borderId="117" xfId="0" applyNumberFormat="1" applyFont="1" applyBorder="1" applyAlignment="1">
      <alignment vertical="center"/>
    </xf>
    <xf numFmtId="3" fontId="3" fillId="0" borderId="101" xfId="0" applyNumberFormat="1" applyFont="1" applyBorder="1" applyAlignment="1">
      <alignment vertical="center"/>
    </xf>
    <xf numFmtId="3" fontId="3" fillId="0" borderId="118" xfId="0" applyNumberFormat="1" applyFont="1" applyBorder="1" applyAlignment="1">
      <alignment vertical="center"/>
    </xf>
    <xf numFmtId="0" fontId="5" fillId="0" borderId="0" xfId="3" applyFont="1"/>
    <xf numFmtId="167" fontId="4" fillId="0" borderId="0" xfId="3" applyNumberFormat="1" applyFont="1" applyAlignment="1">
      <alignment horizontal="center" vertical="top"/>
    </xf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top" wrapText="1"/>
    </xf>
    <xf numFmtId="0" fontId="11" fillId="0" borderId="0" xfId="3" applyFont="1" applyAlignment="1">
      <alignment horizontal="left" vertical="top" wrapText="1" indent="1"/>
    </xf>
    <xf numFmtId="0" fontId="14" fillId="0" borderId="0" xfId="3" applyFont="1" applyAlignment="1">
      <alignment horizontal="center"/>
    </xf>
    <xf numFmtId="0" fontId="4" fillId="0" borderId="33" xfId="3" applyFont="1" applyBorder="1" applyAlignment="1">
      <alignment horizontal="center"/>
    </xf>
    <xf numFmtId="0" fontId="4" fillId="0" borderId="35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171275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78D1ECE8" TargetMode="External"/><Relationship Id="rId1" Type="http://schemas.openxmlformats.org/officeDocument/2006/relationships/externalLinkPath" Target="file:///\\78D1ECE8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36"/>
  <sheetViews>
    <sheetView showGridLines="0" tabSelected="1" zoomScale="115" zoomScaleNormal="115" workbookViewId="0">
      <selection activeCell="A24" sqref="A24"/>
    </sheetView>
  </sheetViews>
  <sheetFormatPr defaultColWidth="0" defaultRowHeight="0" customHeight="1" zeroHeight="1" x14ac:dyDescent="0.25"/>
  <cols>
    <col min="1" max="1" width="4.33203125" style="140" customWidth="1"/>
    <col min="2" max="2" width="18.33203125" style="140" customWidth="1"/>
    <col min="3" max="3" width="68.6640625" style="140" customWidth="1"/>
    <col min="4" max="4" width="14.6640625" style="140" customWidth="1"/>
    <col min="5" max="7" width="9.109375" style="140" hidden="1" customWidth="1"/>
    <col min="8" max="256" width="0" style="140" hidden="1"/>
    <col min="257" max="257" width="4.33203125" style="140" customWidth="1"/>
    <col min="258" max="258" width="18.33203125" style="140" customWidth="1"/>
    <col min="259" max="259" width="68.6640625" style="140" customWidth="1"/>
    <col min="260" max="260" width="14.6640625" style="140" customWidth="1"/>
    <col min="261" max="263" width="0" style="140" hidden="1" customWidth="1"/>
    <col min="264" max="512" width="0" style="140" hidden="1"/>
    <col min="513" max="513" width="4.33203125" style="140" customWidth="1"/>
    <col min="514" max="514" width="18.33203125" style="140" customWidth="1"/>
    <col min="515" max="515" width="68.6640625" style="140" customWidth="1"/>
    <col min="516" max="516" width="14.6640625" style="140" customWidth="1"/>
    <col min="517" max="519" width="0" style="140" hidden="1" customWidth="1"/>
    <col min="520" max="768" width="0" style="140" hidden="1"/>
    <col min="769" max="769" width="4.33203125" style="140" customWidth="1"/>
    <col min="770" max="770" width="18.33203125" style="140" customWidth="1"/>
    <col min="771" max="771" width="68.6640625" style="140" customWidth="1"/>
    <col min="772" max="772" width="14.6640625" style="140" customWidth="1"/>
    <col min="773" max="775" width="0" style="140" hidden="1" customWidth="1"/>
    <col min="776" max="1024" width="0" style="140" hidden="1"/>
    <col min="1025" max="1025" width="4.33203125" style="140" customWidth="1"/>
    <col min="1026" max="1026" width="18.33203125" style="140" customWidth="1"/>
    <col min="1027" max="1027" width="68.6640625" style="140" customWidth="1"/>
    <col min="1028" max="1028" width="14.6640625" style="140" customWidth="1"/>
    <col min="1029" max="1031" width="0" style="140" hidden="1" customWidth="1"/>
    <col min="1032" max="1280" width="0" style="140" hidden="1"/>
    <col min="1281" max="1281" width="4.33203125" style="140" customWidth="1"/>
    <col min="1282" max="1282" width="18.33203125" style="140" customWidth="1"/>
    <col min="1283" max="1283" width="68.6640625" style="140" customWidth="1"/>
    <col min="1284" max="1284" width="14.6640625" style="140" customWidth="1"/>
    <col min="1285" max="1287" width="0" style="140" hidden="1" customWidth="1"/>
    <col min="1288" max="1536" width="0" style="140" hidden="1"/>
    <col min="1537" max="1537" width="4.33203125" style="140" customWidth="1"/>
    <col min="1538" max="1538" width="18.33203125" style="140" customWidth="1"/>
    <col min="1539" max="1539" width="68.6640625" style="140" customWidth="1"/>
    <col min="1540" max="1540" width="14.6640625" style="140" customWidth="1"/>
    <col min="1541" max="1543" width="0" style="140" hidden="1" customWidth="1"/>
    <col min="1544" max="1792" width="0" style="140" hidden="1"/>
    <col min="1793" max="1793" width="4.33203125" style="140" customWidth="1"/>
    <col min="1794" max="1794" width="18.33203125" style="140" customWidth="1"/>
    <col min="1795" max="1795" width="68.6640625" style="140" customWidth="1"/>
    <col min="1796" max="1796" width="14.6640625" style="140" customWidth="1"/>
    <col min="1797" max="1799" width="0" style="140" hidden="1" customWidth="1"/>
    <col min="1800" max="2048" width="0" style="140" hidden="1"/>
    <col min="2049" max="2049" width="4.33203125" style="140" customWidth="1"/>
    <col min="2050" max="2050" width="18.33203125" style="140" customWidth="1"/>
    <col min="2051" max="2051" width="68.6640625" style="140" customWidth="1"/>
    <col min="2052" max="2052" width="14.6640625" style="140" customWidth="1"/>
    <col min="2053" max="2055" width="0" style="140" hidden="1" customWidth="1"/>
    <col min="2056" max="2304" width="0" style="140" hidden="1"/>
    <col min="2305" max="2305" width="4.33203125" style="140" customWidth="1"/>
    <col min="2306" max="2306" width="18.33203125" style="140" customWidth="1"/>
    <col min="2307" max="2307" width="68.6640625" style="140" customWidth="1"/>
    <col min="2308" max="2308" width="14.6640625" style="140" customWidth="1"/>
    <col min="2309" max="2311" width="0" style="140" hidden="1" customWidth="1"/>
    <col min="2312" max="2560" width="0" style="140" hidden="1"/>
    <col min="2561" max="2561" width="4.33203125" style="140" customWidth="1"/>
    <col min="2562" max="2562" width="18.33203125" style="140" customWidth="1"/>
    <col min="2563" max="2563" width="68.6640625" style="140" customWidth="1"/>
    <col min="2564" max="2564" width="14.6640625" style="140" customWidth="1"/>
    <col min="2565" max="2567" width="0" style="140" hidden="1" customWidth="1"/>
    <col min="2568" max="2816" width="0" style="140" hidden="1"/>
    <col min="2817" max="2817" width="4.33203125" style="140" customWidth="1"/>
    <col min="2818" max="2818" width="18.33203125" style="140" customWidth="1"/>
    <col min="2819" max="2819" width="68.6640625" style="140" customWidth="1"/>
    <col min="2820" max="2820" width="14.6640625" style="140" customWidth="1"/>
    <col min="2821" max="2823" width="0" style="140" hidden="1" customWidth="1"/>
    <col min="2824" max="3072" width="0" style="140" hidden="1"/>
    <col min="3073" max="3073" width="4.33203125" style="140" customWidth="1"/>
    <col min="3074" max="3074" width="18.33203125" style="140" customWidth="1"/>
    <col min="3075" max="3075" width="68.6640625" style="140" customWidth="1"/>
    <col min="3076" max="3076" width="14.6640625" style="140" customWidth="1"/>
    <col min="3077" max="3079" width="0" style="140" hidden="1" customWidth="1"/>
    <col min="3080" max="3328" width="0" style="140" hidden="1"/>
    <col min="3329" max="3329" width="4.33203125" style="140" customWidth="1"/>
    <col min="3330" max="3330" width="18.33203125" style="140" customWidth="1"/>
    <col min="3331" max="3331" width="68.6640625" style="140" customWidth="1"/>
    <col min="3332" max="3332" width="14.6640625" style="140" customWidth="1"/>
    <col min="3333" max="3335" width="0" style="140" hidden="1" customWidth="1"/>
    <col min="3336" max="3584" width="0" style="140" hidden="1"/>
    <col min="3585" max="3585" width="4.33203125" style="140" customWidth="1"/>
    <col min="3586" max="3586" width="18.33203125" style="140" customWidth="1"/>
    <col min="3587" max="3587" width="68.6640625" style="140" customWidth="1"/>
    <col min="3588" max="3588" width="14.6640625" style="140" customWidth="1"/>
    <col min="3589" max="3591" width="0" style="140" hidden="1" customWidth="1"/>
    <col min="3592" max="3840" width="0" style="140" hidden="1"/>
    <col min="3841" max="3841" width="4.33203125" style="140" customWidth="1"/>
    <col min="3842" max="3842" width="18.33203125" style="140" customWidth="1"/>
    <col min="3843" max="3843" width="68.6640625" style="140" customWidth="1"/>
    <col min="3844" max="3844" width="14.6640625" style="140" customWidth="1"/>
    <col min="3845" max="3847" width="0" style="140" hidden="1" customWidth="1"/>
    <col min="3848" max="4096" width="0" style="140" hidden="1"/>
    <col min="4097" max="4097" width="4.33203125" style="140" customWidth="1"/>
    <col min="4098" max="4098" width="18.33203125" style="140" customWidth="1"/>
    <col min="4099" max="4099" width="68.6640625" style="140" customWidth="1"/>
    <col min="4100" max="4100" width="14.6640625" style="140" customWidth="1"/>
    <col min="4101" max="4103" width="0" style="140" hidden="1" customWidth="1"/>
    <col min="4104" max="4352" width="0" style="140" hidden="1"/>
    <col min="4353" max="4353" width="4.33203125" style="140" customWidth="1"/>
    <col min="4354" max="4354" width="18.33203125" style="140" customWidth="1"/>
    <col min="4355" max="4355" width="68.6640625" style="140" customWidth="1"/>
    <col min="4356" max="4356" width="14.6640625" style="140" customWidth="1"/>
    <col min="4357" max="4359" width="0" style="140" hidden="1" customWidth="1"/>
    <col min="4360" max="4608" width="0" style="140" hidden="1"/>
    <col min="4609" max="4609" width="4.33203125" style="140" customWidth="1"/>
    <col min="4610" max="4610" width="18.33203125" style="140" customWidth="1"/>
    <col min="4611" max="4611" width="68.6640625" style="140" customWidth="1"/>
    <col min="4612" max="4612" width="14.6640625" style="140" customWidth="1"/>
    <col min="4613" max="4615" width="0" style="140" hidden="1" customWidth="1"/>
    <col min="4616" max="4864" width="0" style="140" hidden="1"/>
    <col min="4865" max="4865" width="4.33203125" style="140" customWidth="1"/>
    <col min="4866" max="4866" width="18.33203125" style="140" customWidth="1"/>
    <col min="4867" max="4867" width="68.6640625" style="140" customWidth="1"/>
    <col min="4868" max="4868" width="14.6640625" style="140" customWidth="1"/>
    <col min="4869" max="4871" width="0" style="140" hidden="1" customWidth="1"/>
    <col min="4872" max="5120" width="0" style="140" hidden="1"/>
    <col min="5121" max="5121" width="4.33203125" style="140" customWidth="1"/>
    <col min="5122" max="5122" width="18.33203125" style="140" customWidth="1"/>
    <col min="5123" max="5123" width="68.6640625" style="140" customWidth="1"/>
    <col min="5124" max="5124" width="14.6640625" style="140" customWidth="1"/>
    <col min="5125" max="5127" width="0" style="140" hidden="1" customWidth="1"/>
    <col min="5128" max="5376" width="0" style="140" hidden="1"/>
    <col min="5377" max="5377" width="4.33203125" style="140" customWidth="1"/>
    <col min="5378" max="5378" width="18.33203125" style="140" customWidth="1"/>
    <col min="5379" max="5379" width="68.6640625" style="140" customWidth="1"/>
    <col min="5380" max="5380" width="14.6640625" style="140" customWidth="1"/>
    <col min="5381" max="5383" width="0" style="140" hidden="1" customWidth="1"/>
    <col min="5384" max="5632" width="0" style="140" hidden="1"/>
    <col min="5633" max="5633" width="4.33203125" style="140" customWidth="1"/>
    <col min="5634" max="5634" width="18.33203125" style="140" customWidth="1"/>
    <col min="5635" max="5635" width="68.6640625" style="140" customWidth="1"/>
    <col min="5636" max="5636" width="14.6640625" style="140" customWidth="1"/>
    <col min="5637" max="5639" width="0" style="140" hidden="1" customWidth="1"/>
    <col min="5640" max="5888" width="0" style="140" hidden="1"/>
    <col min="5889" max="5889" width="4.33203125" style="140" customWidth="1"/>
    <col min="5890" max="5890" width="18.33203125" style="140" customWidth="1"/>
    <col min="5891" max="5891" width="68.6640625" style="140" customWidth="1"/>
    <col min="5892" max="5892" width="14.6640625" style="140" customWidth="1"/>
    <col min="5893" max="5895" width="0" style="140" hidden="1" customWidth="1"/>
    <col min="5896" max="6144" width="0" style="140" hidden="1"/>
    <col min="6145" max="6145" width="4.33203125" style="140" customWidth="1"/>
    <col min="6146" max="6146" width="18.33203125" style="140" customWidth="1"/>
    <col min="6147" max="6147" width="68.6640625" style="140" customWidth="1"/>
    <col min="6148" max="6148" width="14.6640625" style="140" customWidth="1"/>
    <col min="6149" max="6151" width="0" style="140" hidden="1" customWidth="1"/>
    <col min="6152" max="6400" width="0" style="140" hidden="1"/>
    <col min="6401" max="6401" width="4.33203125" style="140" customWidth="1"/>
    <col min="6402" max="6402" width="18.33203125" style="140" customWidth="1"/>
    <col min="6403" max="6403" width="68.6640625" style="140" customWidth="1"/>
    <col min="6404" max="6404" width="14.6640625" style="140" customWidth="1"/>
    <col min="6405" max="6407" width="0" style="140" hidden="1" customWidth="1"/>
    <col min="6408" max="6656" width="0" style="140" hidden="1"/>
    <col min="6657" max="6657" width="4.33203125" style="140" customWidth="1"/>
    <col min="6658" max="6658" width="18.33203125" style="140" customWidth="1"/>
    <col min="6659" max="6659" width="68.6640625" style="140" customWidth="1"/>
    <col min="6660" max="6660" width="14.6640625" style="140" customWidth="1"/>
    <col min="6661" max="6663" width="0" style="140" hidden="1" customWidth="1"/>
    <col min="6664" max="6912" width="0" style="140" hidden="1"/>
    <col min="6913" max="6913" width="4.33203125" style="140" customWidth="1"/>
    <col min="6914" max="6914" width="18.33203125" style="140" customWidth="1"/>
    <col min="6915" max="6915" width="68.6640625" style="140" customWidth="1"/>
    <col min="6916" max="6916" width="14.6640625" style="140" customWidth="1"/>
    <col min="6917" max="6919" width="0" style="140" hidden="1" customWidth="1"/>
    <col min="6920" max="7168" width="0" style="140" hidden="1"/>
    <col min="7169" max="7169" width="4.33203125" style="140" customWidth="1"/>
    <col min="7170" max="7170" width="18.33203125" style="140" customWidth="1"/>
    <col min="7171" max="7171" width="68.6640625" style="140" customWidth="1"/>
    <col min="7172" max="7172" width="14.6640625" style="140" customWidth="1"/>
    <col min="7173" max="7175" width="0" style="140" hidden="1" customWidth="1"/>
    <col min="7176" max="7424" width="0" style="140" hidden="1"/>
    <col min="7425" max="7425" width="4.33203125" style="140" customWidth="1"/>
    <col min="7426" max="7426" width="18.33203125" style="140" customWidth="1"/>
    <col min="7427" max="7427" width="68.6640625" style="140" customWidth="1"/>
    <col min="7428" max="7428" width="14.6640625" style="140" customWidth="1"/>
    <col min="7429" max="7431" width="0" style="140" hidden="1" customWidth="1"/>
    <col min="7432" max="7680" width="0" style="140" hidden="1"/>
    <col min="7681" max="7681" width="4.33203125" style="140" customWidth="1"/>
    <col min="7682" max="7682" width="18.33203125" style="140" customWidth="1"/>
    <col min="7683" max="7683" width="68.6640625" style="140" customWidth="1"/>
    <col min="7684" max="7684" width="14.6640625" style="140" customWidth="1"/>
    <col min="7685" max="7687" width="0" style="140" hidden="1" customWidth="1"/>
    <col min="7688" max="7936" width="0" style="140" hidden="1"/>
    <col min="7937" max="7937" width="4.33203125" style="140" customWidth="1"/>
    <col min="7938" max="7938" width="18.33203125" style="140" customWidth="1"/>
    <col min="7939" max="7939" width="68.6640625" style="140" customWidth="1"/>
    <col min="7940" max="7940" width="14.6640625" style="140" customWidth="1"/>
    <col min="7941" max="7943" width="0" style="140" hidden="1" customWidth="1"/>
    <col min="7944" max="8192" width="0" style="140" hidden="1"/>
    <col min="8193" max="8193" width="4.33203125" style="140" customWidth="1"/>
    <col min="8194" max="8194" width="18.33203125" style="140" customWidth="1"/>
    <col min="8195" max="8195" width="68.6640625" style="140" customWidth="1"/>
    <col min="8196" max="8196" width="14.6640625" style="140" customWidth="1"/>
    <col min="8197" max="8199" width="0" style="140" hidden="1" customWidth="1"/>
    <col min="8200" max="8448" width="0" style="140" hidden="1"/>
    <col min="8449" max="8449" width="4.33203125" style="140" customWidth="1"/>
    <col min="8450" max="8450" width="18.33203125" style="140" customWidth="1"/>
    <col min="8451" max="8451" width="68.6640625" style="140" customWidth="1"/>
    <col min="8452" max="8452" width="14.6640625" style="140" customWidth="1"/>
    <col min="8453" max="8455" width="0" style="140" hidden="1" customWidth="1"/>
    <col min="8456" max="8704" width="0" style="140" hidden="1"/>
    <col min="8705" max="8705" width="4.33203125" style="140" customWidth="1"/>
    <col min="8706" max="8706" width="18.33203125" style="140" customWidth="1"/>
    <col min="8707" max="8707" width="68.6640625" style="140" customWidth="1"/>
    <col min="8708" max="8708" width="14.6640625" style="140" customWidth="1"/>
    <col min="8709" max="8711" width="0" style="140" hidden="1" customWidth="1"/>
    <col min="8712" max="8960" width="0" style="140" hidden="1"/>
    <col min="8961" max="8961" width="4.33203125" style="140" customWidth="1"/>
    <col min="8962" max="8962" width="18.33203125" style="140" customWidth="1"/>
    <col min="8963" max="8963" width="68.6640625" style="140" customWidth="1"/>
    <col min="8964" max="8964" width="14.6640625" style="140" customWidth="1"/>
    <col min="8965" max="8967" width="0" style="140" hidden="1" customWidth="1"/>
    <col min="8968" max="9216" width="0" style="140" hidden="1"/>
    <col min="9217" max="9217" width="4.33203125" style="140" customWidth="1"/>
    <col min="9218" max="9218" width="18.33203125" style="140" customWidth="1"/>
    <col min="9219" max="9219" width="68.6640625" style="140" customWidth="1"/>
    <col min="9220" max="9220" width="14.6640625" style="140" customWidth="1"/>
    <col min="9221" max="9223" width="0" style="140" hidden="1" customWidth="1"/>
    <col min="9224" max="9472" width="0" style="140" hidden="1"/>
    <col min="9473" max="9473" width="4.33203125" style="140" customWidth="1"/>
    <col min="9474" max="9474" width="18.33203125" style="140" customWidth="1"/>
    <col min="9475" max="9475" width="68.6640625" style="140" customWidth="1"/>
    <col min="9476" max="9476" width="14.6640625" style="140" customWidth="1"/>
    <col min="9477" max="9479" width="0" style="140" hidden="1" customWidth="1"/>
    <col min="9480" max="9728" width="0" style="140" hidden="1"/>
    <col min="9729" max="9729" width="4.33203125" style="140" customWidth="1"/>
    <col min="9730" max="9730" width="18.33203125" style="140" customWidth="1"/>
    <col min="9731" max="9731" width="68.6640625" style="140" customWidth="1"/>
    <col min="9732" max="9732" width="14.6640625" style="140" customWidth="1"/>
    <col min="9733" max="9735" width="0" style="140" hidden="1" customWidth="1"/>
    <col min="9736" max="9984" width="0" style="140" hidden="1"/>
    <col min="9985" max="9985" width="4.33203125" style="140" customWidth="1"/>
    <col min="9986" max="9986" width="18.33203125" style="140" customWidth="1"/>
    <col min="9987" max="9987" width="68.6640625" style="140" customWidth="1"/>
    <col min="9988" max="9988" width="14.6640625" style="140" customWidth="1"/>
    <col min="9989" max="9991" width="0" style="140" hidden="1" customWidth="1"/>
    <col min="9992" max="10240" width="0" style="140" hidden="1"/>
    <col min="10241" max="10241" width="4.33203125" style="140" customWidth="1"/>
    <col min="10242" max="10242" width="18.33203125" style="140" customWidth="1"/>
    <col min="10243" max="10243" width="68.6640625" style="140" customWidth="1"/>
    <col min="10244" max="10244" width="14.6640625" style="140" customWidth="1"/>
    <col min="10245" max="10247" width="0" style="140" hidden="1" customWidth="1"/>
    <col min="10248" max="10496" width="0" style="140" hidden="1"/>
    <col min="10497" max="10497" width="4.33203125" style="140" customWidth="1"/>
    <col min="10498" max="10498" width="18.33203125" style="140" customWidth="1"/>
    <col min="10499" max="10499" width="68.6640625" style="140" customWidth="1"/>
    <col min="10500" max="10500" width="14.6640625" style="140" customWidth="1"/>
    <col min="10501" max="10503" width="0" style="140" hidden="1" customWidth="1"/>
    <col min="10504" max="10752" width="0" style="140" hidden="1"/>
    <col min="10753" max="10753" width="4.33203125" style="140" customWidth="1"/>
    <col min="10754" max="10754" width="18.33203125" style="140" customWidth="1"/>
    <col min="10755" max="10755" width="68.6640625" style="140" customWidth="1"/>
    <col min="10756" max="10756" width="14.6640625" style="140" customWidth="1"/>
    <col min="10757" max="10759" width="0" style="140" hidden="1" customWidth="1"/>
    <col min="10760" max="11008" width="0" style="140" hidden="1"/>
    <col min="11009" max="11009" width="4.33203125" style="140" customWidth="1"/>
    <col min="11010" max="11010" width="18.33203125" style="140" customWidth="1"/>
    <col min="11011" max="11011" width="68.6640625" style="140" customWidth="1"/>
    <col min="11012" max="11012" width="14.6640625" style="140" customWidth="1"/>
    <col min="11013" max="11015" width="0" style="140" hidden="1" customWidth="1"/>
    <col min="11016" max="11264" width="0" style="140" hidden="1"/>
    <col min="11265" max="11265" width="4.33203125" style="140" customWidth="1"/>
    <col min="11266" max="11266" width="18.33203125" style="140" customWidth="1"/>
    <col min="11267" max="11267" width="68.6640625" style="140" customWidth="1"/>
    <col min="11268" max="11268" width="14.6640625" style="140" customWidth="1"/>
    <col min="11269" max="11271" width="0" style="140" hidden="1" customWidth="1"/>
    <col min="11272" max="11520" width="0" style="140" hidden="1"/>
    <col min="11521" max="11521" width="4.33203125" style="140" customWidth="1"/>
    <col min="11522" max="11522" width="18.33203125" style="140" customWidth="1"/>
    <col min="11523" max="11523" width="68.6640625" style="140" customWidth="1"/>
    <col min="11524" max="11524" width="14.6640625" style="140" customWidth="1"/>
    <col min="11525" max="11527" width="0" style="140" hidden="1" customWidth="1"/>
    <col min="11528" max="11776" width="0" style="140" hidden="1"/>
    <col min="11777" max="11777" width="4.33203125" style="140" customWidth="1"/>
    <col min="11778" max="11778" width="18.33203125" style="140" customWidth="1"/>
    <col min="11779" max="11779" width="68.6640625" style="140" customWidth="1"/>
    <col min="11780" max="11780" width="14.6640625" style="140" customWidth="1"/>
    <col min="11781" max="11783" width="0" style="140" hidden="1" customWidth="1"/>
    <col min="11784" max="12032" width="0" style="140" hidden="1"/>
    <col min="12033" max="12033" width="4.33203125" style="140" customWidth="1"/>
    <col min="12034" max="12034" width="18.33203125" style="140" customWidth="1"/>
    <col min="12035" max="12035" width="68.6640625" style="140" customWidth="1"/>
    <col min="12036" max="12036" width="14.6640625" style="140" customWidth="1"/>
    <col min="12037" max="12039" width="0" style="140" hidden="1" customWidth="1"/>
    <col min="12040" max="12288" width="0" style="140" hidden="1"/>
    <col min="12289" max="12289" width="4.33203125" style="140" customWidth="1"/>
    <col min="12290" max="12290" width="18.33203125" style="140" customWidth="1"/>
    <col min="12291" max="12291" width="68.6640625" style="140" customWidth="1"/>
    <col min="12292" max="12292" width="14.6640625" style="140" customWidth="1"/>
    <col min="12293" max="12295" width="0" style="140" hidden="1" customWidth="1"/>
    <col min="12296" max="12544" width="0" style="140" hidden="1"/>
    <col min="12545" max="12545" width="4.33203125" style="140" customWidth="1"/>
    <col min="12546" max="12546" width="18.33203125" style="140" customWidth="1"/>
    <col min="12547" max="12547" width="68.6640625" style="140" customWidth="1"/>
    <col min="12548" max="12548" width="14.6640625" style="140" customWidth="1"/>
    <col min="12549" max="12551" width="0" style="140" hidden="1" customWidth="1"/>
    <col min="12552" max="12800" width="0" style="140" hidden="1"/>
    <col min="12801" max="12801" width="4.33203125" style="140" customWidth="1"/>
    <col min="12802" max="12802" width="18.33203125" style="140" customWidth="1"/>
    <col min="12803" max="12803" width="68.6640625" style="140" customWidth="1"/>
    <col min="12804" max="12804" width="14.6640625" style="140" customWidth="1"/>
    <col min="12805" max="12807" width="0" style="140" hidden="1" customWidth="1"/>
    <col min="12808" max="13056" width="0" style="140" hidden="1"/>
    <col min="13057" max="13057" width="4.33203125" style="140" customWidth="1"/>
    <col min="13058" max="13058" width="18.33203125" style="140" customWidth="1"/>
    <col min="13059" max="13059" width="68.6640625" style="140" customWidth="1"/>
    <col min="13060" max="13060" width="14.6640625" style="140" customWidth="1"/>
    <col min="13061" max="13063" width="0" style="140" hidden="1" customWidth="1"/>
    <col min="13064" max="13312" width="0" style="140" hidden="1"/>
    <col min="13313" max="13313" width="4.33203125" style="140" customWidth="1"/>
    <col min="13314" max="13314" width="18.33203125" style="140" customWidth="1"/>
    <col min="13315" max="13315" width="68.6640625" style="140" customWidth="1"/>
    <col min="13316" max="13316" width="14.6640625" style="140" customWidth="1"/>
    <col min="13317" max="13319" width="0" style="140" hidden="1" customWidth="1"/>
    <col min="13320" max="13568" width="0" style="140" hidden="1"/>
    <col min="13569" max="13569" width="4.33203125" style="140" customWidth="1"/>
    <col min="13570" max="13570" width="18.33203125" style="140" customWidth="1"/>
    <col min="13571" max="13571" width="68.6640625" style="140" customWidth="1"/>
    <col min="13572" max="13572" width="14.6640625" style="140" customWidth="1"/>
    <col min="13573" max="13575" width="0" style="140" hidden="1" customWidth="1"/>
    <col min="13576" max="13824" width="0" style="140" hidden="1"/>
    <col min="13825" max="13825" width="4.33203125" style="140" customWidth="1"/>
    <col min="13826" max="13826" width="18.33203125" style="140" customWidth="1"/>
    <col min="13827" max="13827" width="68.6640625" style="140" customWidth="1"/>
    <col min="13828" max="13828" width="14.6640625" style="140" customWidth="1"/>
    <col min="13829" max="13831" width="0" style="140" hidden="1" customWidth="1"/>
    <col min="13832" max="14080" width="0" style="140" hidden="1"/>
    <col min="14081" max="14081" width="4.33203125" style="140" customWidth="1"/>
    <col min="14082" max="14082" width="18.33203125" style="140" customWidth="1"/>
    <col min="14083" max="14083" width="68.6640625" style="140" customWidth="1"/>
    <col min="14084" max="14084" width="14.6640625" style="140" customWidth="1"/>
    <col min="14085" max="14087" width="0" style="140" hidden="1" customWidth="1"/>
    <col min="14088" max="14336" width="0" style="140" hidden="1"/>
    <col min="14337" max="14337" width="4.33203125" style="140" customWidth="1"/>
    <col min="14338" max="14338" width="18.33203125" style="140" customWidth="1"/>
    <col min="14339" max="14339" width="68.6640625" style="140" customWidth="1"/>
    <col min="14340" max="14340" width="14.6640625" style="140" customWidth="1"/>
    <col min="14341" max="14343" width="0" style="140" hidden="1" customWidth="1"/>
    <col min="14344" max="14592" width="0" style="140" hidden="1"/>
    <col min="14593" max="14593" width="4.33203125" style="140" customWidth="1"/>
    <col min="14594" max="14594" width="18.33203125" style="140" customWidth="1"/>
    <col min="14595" max="14595" width="68.6640625" style="140" customWidth="1"/>
    <col min="14596" max="14596" width="14.6640625" style="140" customWidth="1"/>
    <col min="14597" max="14599" width="0" style="140" hidden="1" customWidth="1"/>
    <col min="14600" max="14848" width="0" style="140" hidden="1"/>
    <col min="14849" max="14849" width="4.33203125" style="140" customWidth="1"/>
    <col min="14850" max="14850" width="18.33203125" style="140" customWidth="1"/>
    <col min="14851" max="14851" width="68.6640625" style="140" customWidth="1"/>
    <col min="14852" max="14852" width="14.6640625" style="140" customWidth="1"/>
    <col min="14853" max="14855" width="0" style="140" hidden="1" customWidth="1"/>
    <col min="14856" max="15104" width="0" style="140" hidden="1"/>
    <col min="15105" max="15105" width="4.33203125" style="140" customWidth="1"/>
    <col min="15106" max="15106" width="18.33203125" style="140" customWidth="1"/>
    <col min="15107" max="15107" width="68.6640625" style="140" customWidth="1"/>
    <col min="15108" max="15108" width="14.6640625" style="140" customWidth="1"/>
    <col min="15109" max="15111" width="0" style="140" hidden="1" customWidth="1"/>
    <col min="15112" max="15360" width="0" style="140" hidden="1"/>
    <col min="15361" max="15361" width="4.33203125" style="140" customWidth="1"/>
    <col min="15362" max="15362" width="18.33203125" style="140" customWidth="1"/>
    <col min="15363" max="15363" width="68.6640625" style="140" customWidth="1"/>
    <col min="15364" max="15364" width="14.6640625" style="140" customWidth="1"/>
    <col min="15365" max="15367" width="0" style="140" hidden="1" customWidth="1"/>
    <col min="15368" max="15616" width="0" style="140" hidden="1"/>
    <col min="15617" max="15617" width="4.33203125" style="140" customWidth="1"/>
    <col min="15618" max="15618" width="18.33203125" style="140" customWidth="1"/>
    <col min="15619" max="15619" width="68.6640625" style="140" customWidth="1"/>
    <col min="15620" max="15620" width="14.6640625" style="140" customWidth="1"/>
    <col min="15621" max="15623" width="0" style="140" hidden="1" customWidth="1"/>
    <col min="15624" max="15872" width="0" style="140" hidden="1"/>
    <col min="15873" max="15873" width="4.33203125" style="140" customWidth="1"/>
    <col min="15874" max="15874" width="18.33203125" style="140" customWidth="1"/>
    <col min="15875" max="15875" width="68.6640625" style="140" customWidth="1"/>
    <col min="15876" max="15876" width="14.6640625" style="140" customWidth="1"/>
    <col min="15877" max="15879" width="0" style="140" hidden="1" customWidth="1"/>
    <col min="15880" max="16128" width="0" style="140" hidden="1"/>
    <col min="16129" max="16129" width="4.33203125" style="140" customWidth="1"/>
    <col min="16130" max="16130" width="18.33203125" style="140" customWidth="1"/>
    <col min="16131" max="16131" width="68.6640625" style="140" customWidth="1"/>
    <col min="16132" max="16132" width="14.6640625" style="140" customWidth="1"/>
    <col min="16133" max="16135" width="0" style="140" hidden="1" customWidth="1"/>
    <col min="16136" max="16384" width="0" style="140" hidden="1"/>
  </cols>
  <sheetData>
    <row r="1" spans="1:6" ht="13.8" x14ac:dyDescent="0.25">
      <c r="B1" s="141"/>
    </row>
    <row r="2" spans="1:6" ht="15.6" x14ac:dyDescent="0.3">
      <c r="B2" s="142" t="s">
        <v>107</v>
      </c>
      <c r="D2" s="233" t="s">
        <v>108</v>
      </c>
    </row>
    <row r="3" spans="1:6" ht="13.8" x14ac:dyDescent="0.25">
      <c r="B3" s="144" t="s">
        <v>109</v>
      </c>
      <c r="D3" s="143" t="s">
        <v>110</v>
      </c>
    </row>
    <row r="4" spans="1:6" ht="13.8" x14ac:dyDescent="0.2">
      <c r="B4" s="145"/>
      <c r="F4" s="143"/>
    </row>
    <row r="5" spans="1:6" ht="13.8" x14ac:dyDescent="0.2">
      <c r="B5" s="145"/>
      <c r="F5" s="143"/>
    </row>
    <row r="6" spans="1:6" ht="18" x14ac:dyDescent="0.35">
      <c r="B6" s="296" t="s">
        <v>111</v>
      </c>
      <c r="C6" s="296"/>
      <c r="F6" s="143"/>
    </row>
    <row r="7" spans="1:6" ht="18" x14ac:dyDescent="0.35">
      <c r="B7" s="296">
        <v>2023</v>
      </c>
      <c r="C7" s="296"/>
      <c r="F7" s="143"/>
    </row>
    <row r="8" spans="1:6" ht="13.8" x14ac:dyDescent="0.2">
      <c r="B8" s="145"/>
      <c r="F8" s="143"/>
    </row>
    <row r="9" spans="1:6" ht="15.6" x14ac:dyDescent="0.25">
      <c r="A9" s="146" t="s">
        <v>112</v>
      </c>
      <c r="B9" s="147"/>
      <c r="C9" s="147"/>
      <c r="D9" s="147"/>
    </row>
    <row r="10" spans="1:6" ht="15.75" customHeight="1" x14ac:dyDescent="0.25"/>
    <row r="11" spans="1:6" ht="56.25" customHeight="1" x14ac:dyDescent="0.25">
      <c r="A11" s="295" t="s">
        <v>113</v>
      </c>
      <c r="B11" s="295"/>
      <c r="C11" s="295"/>
    </row>
    <row r="12" spans="1:6" ht="18" customHeight="1" x14ac:dyDescent="0.25">
      <c r="A12" s="148" t="s">
        <v>114</v>
      </c>
      <c r="B12" s="140" t="s">
        <v>115</v>
      </c>
      <c r="C12" s="149"/>
    </row>
    <row r="13" spans="1:6" ht="29.25" customHeight="1" x14ac:dyDescent="0.25">
      <c r="A13" s="148" t="s">
        <v>114</v>
      </c>
      <c r="B13" s="294" t="s">
        <v>116</v>
      </c>
      <c r="C13" s="294"/>
    </row>
    <row r="14" spans="1:6" ht="37.5" customHeight="1" x14ac:dyDescent="0.25">
      <c r="A14" s="148" t="s">
        <v>114</v>
      </c>
      <c r="B14" s="294" t="s">
        <v>117</v>
      </c>
      <c r="C14" s="294"/>
    </row>
    <row r="15" spans="1:6" ht="20.25" customHeight="1" x14ac:dyDescent="0.25">
      <c r="A15" s="295" t="s">
        <v>118</v>
      </c>
      <c r="B15" s="295"/>
      <c r="C15" s="295"/>
    </row>
    <row r="16" spans="1:6" ht="23.25" customHeight="1" x14ac:dyDescent="0.25">
      <c r="A16" s="150" t="s">
        <v>306</v>
      </c>
    </row>
    <row r="17" spans="1:3" ht="15.75" customHeight="1" x14ac:dyDescent="0.25">
      <c r="A17" s="150" t="s">
        <v>307</v>
      </c>
    </row>
    <row r="18" spans="1:3" ht="18.75" customHeight="1" x14ac:dyDescent="0.25">
      <c r="A18" s="148" t="s">
        <v>114</v>
      </c>
      <c r="B18" s="140" t="s">
        <v>119</v>
      </c>
    </row>
    <row r="19" spans="1:3" ht="18.75" customHeight="1" x14ac:dyDescent="0.25">
      <c r="A19" s="148" t="s">
        <v>114</v>
      </c>
      <c r="B19" s="140" t="s">
        <v>120</v>
      </c>
    </row>
    <row r="20" spans="1:3" ht="18.75" customHeight="1" x14ac:dyDescent="0.25">
      <c r="A20" s="148" t="s">
        <v>114</v>
      </c>
      <c r="B20" s="140" t="s">
        <v>121</v>
      </c>
    </row>
    <row r="21" spans="1:3" ht="18.75" customHeight="1" x14ac:dyDescent="0.25">
      <c r="A21" s="148" t="s">
        <v>114</v>
      </c>
      <c r="B21" s="140" t="s">
        <v>122</v>
      </c>
    </row>
    <row r="22" spans="1:3" ht="18.75" customHeight="1" x14ac:dyDescent="0.25">
      <c r="A22" s="148" t="s">
        <v>114</v>
      </c>
      <c r="B22" s="140" t="s">
        <v>123</v>
      </c>
    </row>
    <row r="23" spans="1:3" ht="15.75" customHeight="1" x14ac:dyDescent="0.25">
      <c r="A23" s="151"/>
    </row>
    <row r="24" spans="1:3" ht="15.75" customHeight="1" x14ac:dyDescent="0.25">
      <c r="A24" s="150" t="s">
        <v>124</v>
      </c>
    </row>
    <row r="25" spans="1:3" ht="30" customHeight="1" x14ac:dyDescent="0.25">
      <c r="A25" s="148" t="s">
        <v>114</v>
      </c>
      <c r="B25" s="294" t="s">
        <v>125</v>
      </c>
      <c r="C25" s="294"/>
    </row>
    <row r="26" spans="1:3" ht="22.5" customHeight="1" x14ac:dyDescent="0.25">
      <c r="A26" s="148" t="s">
        <v>114</v>
      </c>
      <c r="B26" s="294" t="s">
        <v>328</v>
      </c>
      <c r="C26" s="294"/>
    </row>
    <row r="27" spans="1:3" ht="32.25" customHeight="1" x14ac:dyDescent="0.25">
      <c r="A27" s="148" t="s">
        <v>114</v>
      </c>
      <c r="B27" s="294" t="s">
        <v>337</v>
      </c>
      <c r="C27" s="294"/>
    </row>
    <row r="28" spans="1:3" ht="32.25" customHeight="1" x14ac:dyDescent="0.25">
      <c r="A28" s="148" t="s">
        <v>114</v>
      </c>
      <c r="B28" s="294" t="s">
        <v>126</v>
      </c>
      <c r="C28" s="294"/>
    </row>
    <row r="29" spans="1:3" ht="32.25" customHeight="1" x14ac:dyDescent="0.25">
      <c r="A29" s="148" t="s">
        <v>114</v>
      </c>
      <c r="B29" s="294" t="s">
        <v>205</v>
      </c>
      <c r="C29" s="294"/>
    </row>
    <row r="30" spans="1:3" ht="29.25" customHeight="1" x14ac:dyDescent="0.25">
      <c r="A30" s="148" t="s">
        <v>114</v>
      </c>
      <c r="B30" s="294" t="s">
        <v>127</v>
      </c>
      <c r="C30" s="294"/>
    </row>
    <row r="31" spans="1:3" ht="45.75" customHeight="1" x14ac:dyDescent="0.25">
      <c r="A31" s="148" t="s">
        <v>114</v>
      </c>
      <c r="B31" s="294" t="s">
        <v>325</v>
      </c>
      <c r="C31" s="294"/>
    </row>
    <row r="32" spans="1:3" ht="18.75" customHeight="1" x14ac:dyDescent="0.25">
      <c r="A32" s="148" t="s">
        <v>114</v>
      </c>
      <c r="B32" s="294" t="s">
        <v>128</v>
      </c>
      <c r="C32" s="294"/>
    </row>
    <row r="33" spans="1:4" ht="16.5" customHeight="1" x14ac:dyDescent="0.25">
      <c r="A33" s="148" t="s">
        <v>114</v>
      </c>
      <c r="B33" s="294" t="s">
        <v>316</v>
      </c>
      <c r="C33" s="294"/>
    </row>
    <row r="34" spans="1:4" ht="13.8" x14ac:dyDescent="0.25">
      <c r="A34" s="148"/>
      <c r="B34" s="152"/>
      <c r="C34" s="152"/>
    </row>
    <row r="35" spans="1:4" ht="13.8" x14ac:dyDescent="0.25">
      <c r="A35" s="148"/>
      <c r="B35" s="152"/>
      <c r="C35" s="152"/>
    </row>
    <row r="36" spans="1:4" ht="39" customHeight="1" x14ac:dyDescent="0.25">
      <c r="A36" s="295" t="s">
        <v>338</v>
      </c>
      <c r="B36" s="295"/>
      <c r="C36" s="295"/>
    </row>
    <row r="37" spans="1:4" ht="24" customHeight="1" x14ac:dyDescent="0.25">
      <c r="A37" s="295" t="s">
        <v>129</v>
      </c>
      <c r="B37" s="295"/>
      <c r="C37" s="295"/>
    </row>
    <row r="38" spans="1:4" ht="28.5" customHeight="1" x14ac:dyDescent="0.25">
      <c r="A38" s="295" t="s">
        <v>130</v>
      </c>
      <c r="B38" s="295"/>
      <c r="C38" s="295"/>
    </row>
    <row r="39" spans="1:4" ht="19.5" customHeight="1" x14ac:dyDescent="0.25">
      <c r="A39" s="148" t="s">
        <v>114</v>
      </c>
      <c r="B39" s="294" t="s">
        <v>131</v>
      </c>
      <c r="C39" s="294"/>
    </row>
    <row r="40" spans="1:4" ht="19.5" customHeight="1" x14ac:dyDescent="0.25">
      <c r="A40" s="148" t="s">
        <v>114</v>
      </c>
      <c r="B40" s="294" t="s">
        <v>132</v>
      </c>
      <c r="C40" s="294"/>
    </row>
    <row r="41" spans="1:4" ht="26.25" customHeight="1" x14ac:dyDescent="0.25">
      <c r="A41" s="148" t="s">
        <v>114</v>
      </c>
      <c r="B41" s="294" t="s">
        <v>133</v>
      </c>
      <c r="C41" s="294"/>
    </row>
    <row r="42" spans="1:4" ht="13.8" x14ac:dyDescent="0.25">
      <c r="A42" s="148"/>
      <c r="B42" s="152"/>
      <c r="C42" s="152"/>
    </row>
    <row r="43" spans="1:4" ht="30.75" customHeight="1" x14ac:dyDescent="0.25">
      <c r="A43" s="295" t="s">
        <v>134</v>
      </c>
      <c r="B43" s="295"/>
      <c r="C43" s="295"/>
    </row>
    <row r="44" spans="1:4" ht="13.8" x14ac:dyDescent="0.25">
      <c r="A44" s="295"/>
      <c r="B44" s="295"/>
      <c r="C44" s="295"/>
    </row>
    <row r="45" spans="1:4" ht="13.8" x14ac:dyDescent="0.25">
      <c r="A45" s="295"/>
      <c r="B45" s="295"/>
      <c r="C45" s="295"/>
    </row>
    <row r="46" spans="1:4" ht="15.75" customHeight="1" x14ac:dyDescent="0.25"/>
    <row r="47" spans="1:4" ht="15.75" customHeight="1" x14ac:dyDescent="0.25"/>
    <row r="48" spans="1:4" ht="15.6" x14ac:dyDescent="0.25">
      <c r="A48" s="146" t="s">
        <v>135</v>
      </c>
      <c r="B48" s="147"/>
      <c r="C48" s="147"/>
      <c r="D48" s="147"/>
    </row>
    <row r="49" spans="2:3" ht="13.8" x14ac:dyDescent="0.25"/>
    <row r="50" spans="2:3" ht="27.6" x14ac:dyDescent="0.25">
      <c r="B50" s="152" t="s">
        <v>136</v>
      </c>
      <c r="C50" s="152" t="s">
        <v>137</v>
      </c>
    </row>
    <row r="51" spans="2:3" ht="27.6" x14ac:dyDescent="0.25">
      <c r="B51" s="152" t="s">
        <v>138</v>
      </c>
      <c r="C51" s="152" t="s">
        <v>139</v>
      </c>
    </row>
    <row r="52" spans="2:3" ht="27.6" x14ac:dyDescent="0.25">
      <c r="B52" s="152" t="s">
        <v>140</v>
      </c>
      <c r="C52" s="152" t="s">
        <v>141</v>
      </c>
    </row>
    <row r="53" spans="2:3" ht="41.4" x14ac:dyDescent="0.25">
      <c r="B53" s="152" t="s">
        <v>142</v>
      </c>
      <c r="C53" s="152" t="s">
        <v>143</v>
      </c>
    </row>
    <row r="54" spans="2:3" ht="27.6" x14ac:dyDescent="0.25">
      <c r="B54" s="152" t="s">
        <v>52</v>
      </c>
      <c r="C54" s="152" t="s">
        <v>144</v>
      </c>
    </row>
    <row r="55" spans="2:3" ht="69" x14ac:dyDescent="0.25">
      <c r="B55" s="152" t="s">
        <v>145</v>
      </c>
      <c r="C55" s="152" t="s">
        <v>227</v>
      </c>
    </row>
    <row r="56" spans="2:3" ht="41.4" x14ac:dyDescent="0.25">
      <c r="B56" s="152" t="s">
        <v>54</v>
      </c>
      <c r="C56" s="152" t="s">
        <v>228</v>
      </c>
    </row>
    <row r="57" spans="2:3" ht="13.8" x14ac:dyDescent="0.25">
      <c r="B57" s="152"/>
      <c r="C57" s="152"/>
    </row>
    <row r="58" spans="2:3" ht="55.2" x14ac:dyDescent="0.25">
      <c r="B58" s="152" t="s">
        <v>146</v>
      </c>
      <c r="C58" s="152" t="s">
        <v>147</v>
      </c>
    </row>
    <row r="59" spans="2:3" ht="35.25" customHeight="1" x14ac:dyDescent="0.25">
      <c r="B59" s="152" t="s">
        <v>148</v>
      </c>
      <c r="C59" s="152" t="s">
        <v>149</v>
      </c>
    </row>
    <row r="60" spans="2:3" ht="27.6" x14ac:dyDescent="0.25">
      <c r="B60" s="152" t="s">
        <v>59</v>
      </c>
      <c r="C60" s="152" t="s">
        <v>150</v>
      </c>
    </row>
    <row r="61" spans="2:3" ht="23.25" customHeight="1" x14ac:dyDescent="0.25">
      <c r="B61" s="152" t="s">
        <v>24</v>
      </c>
      <c r="C61" s="152" t="s">
        <v>341</v>
      </c>
    </row>
    <row r="62" spans="2:3" ht="29.25" customHeight="1" x14ac:dyDescent="0.25">
      <c r="B62" s="152" t="s">
        <v>60</v>
      </c>
      <c r="C62" s="152" t="s">
        <v>342</v>
      </c>
    </row>
    <row r="63" spans="2:3" ht="27.6" x14ac:dyDescent="0.25">
      <c r="B63" s="152" t="s">
        <v>61</v>
      </c>
      <c r="C63" s="152" t="s">
        <v>151</v>
      </c>
    </row>
    <row r="64" spans="2:3" ht="41.4" x14ac:dyDescent="0.25">
      <c r="B64" s="152" t="s">
        <v>62</v>
      </c>
      <c r="C64" s="152" t="s">
        <v>152</v>
      </c>
    </row>
    <row r="65" spans="1:4" ht="55.2" x14ac:dyDescent="0.25">
      <c r="B65" s="152" t="s">
        <v>153</v>
      </c>
      <c r="C65" s="152" t="s">
        <v>154</v>
      </c>
    </row>
    <row r="66" spans="1:4" ht="41.4" x14ac:dyDescent="0.25">
      <c r="B66" s="152" t="s">
        <v>155</v>
      </c>
      <c r="C66" s="152" t="s">
        <v>156</v>
      </c>
    </row>
    <row r="67" spans="1:4" ht="27.6" x14ac:dyDescent="0.25">
      <c r="B67" s="152" t="s">
        <v>157</v>
      </c>
      <c r="C67" s="152" t="s">
        <v>158</v>
      </c>
    </row>
    <row r="68" spans="1:4" ht="41.4" x14ac:dyDescent="0.25">
      <c r="B68" s="152" t="s">
        <v>159</v>
      </c>
      <c r="C68" s="152" t="s">
        <v>160</v>
      </c>
    </row>
    <row r="69" spans="1:4" ht="13.8" x14ac:dyDescent="0.25">
      <c r="A69" s="153" t="s">
        <v>161</v>
      </c>
      <c r="B69" s="147"/>
      <c r="C69" s="147"/>
      <c r="D69" s="147"/>
    </row>
    <row r="70" spans="1:4" ht="13.8" x14ac:dyDescent="0.25"/>
    <row r="71" spans="1:4" ht="21.75" customHeight="1" x14ac:dyDescent="0.25">
      <c r="B71" s="152" t="s">
        <v>162</v>
      </c>
      <c r="C71" s="149" t="s">
        <v>163</v>
      </c>
    </row>
    <row r="72" spans="1:4" ht="66.75" customHeight="1" x14ac:dyDescent="0.25">
      <c r="B72" s="152" t="s">
        <v>164</v>
      </c>
      <c r="C72" s="149" t="s">
        <v>165</v>
      </c>
    </row>
    <row r="73" spans="1:4" ht="33.75" customHeight="1" x14ac:dyDescent="0.25">
      <c r="B73" s="152" t="s">
        <v>166</v>
      </c>
      <c r="C73" s="149" t="s">
        <v>167</v>
      </c>
    </row>
    <row r="74" spans="1:4" ht="41.4" x14ac:dyDescent="0.25">
      <c r="B74" s="152" t="s">
        <v>22</v>
      </c>
      <c r="C74" s="149" t="s">
        <v>168</v>
      </c>
    </row>
    <row r="75" spans="1:4" ht="74.25" customHeight="1" x14ac:dyDescent="0.25">
      <c r="B75" s="152" t="s">
        <v>169</v>
      </c>
      <c r="C75" s="149" t="s">
        <v>170</v>
      </c>
    </row>
    <row r="76" spans="1:4" ht="27.6" x14ac:dyDescent="0.25">
      <c r="B76" s="152" t="s">
        <v>32</v>
      </c>
      <c r="C76" s="149" t="s">
        <v>171</v>
      </c>
    </row>
    <row r="77" spans="1:4" ht="41.4" x14ac:dyDescent="0.25">
      <c r="B77" s="152" t="s">
        <v>172</v>
      </c>
      <c r="C77" s="149" t="s">
        <v>305</v>
      </c>
    </row>
    <row r="78" spans="1:4" ht="30.75" customHeight="1" x14ac:dyDescent="0.25">
      <c r="B78" s="152" t="s">
        <v>173</v>
      </c>
      <c r="C78" s="149" t="s">
        <v>174</v>
      </c>
    </row>
    <row r="79" spans="1:4" ht="30.75" customHeight="1" x14ac:dyDescent="0.25">
      <c r="B79" s="152" t="s">
        <v>175</v>
      </c>
      <c r="C79" s="149" t="s">
        <v>343</v>
      </c>
    </row>
    <row r="80" spans="1:4" ht="35.25" customHeight="1" x14ac:dyDescent="0.25">
      <c r="B80" s="152" t="s">
        <v>38</v>
      </c>
      <c r="C80" s="149" t="s">
        <v>176</v>
      </c>
    </row>
    <row r="81" spans="1:4" ht="53.25" customHeight="1" x14ac:dyDescent="0.25">
      <c r="B81" s="152" t="s">
        <v>314</v>
      </c>
      <c r="C81" s="149" t="s">
        <v>315</v>
      </c>
    </row>
    <row r="82" spans="1:4" ht="13.8" x14ac:dyDescent="0.25">
      <c r="B82" s="154"/>
      <c r="C82" s="149"/>
    </row>
    <row r="83" spans="1:4" ht="13.8" x14ac:dyDescent="0.25">
      <c r="B83" s="154"/>
      <c r="C83" s="149"/>
    </row>
    <row r="84" spans="1:4" ht="15.6" x14ac:dyDescent="0.25">
      <c r="A84" s="146" t="s">
        <v>177</v>
      </c>
      <c r="B84" s="147"/>
      <c r="C84" s="147"/>
    </row>
    <row r="85" spans="1:4" ht="13.8" x14ac:dyDescent="0.25"/>
    <row r="86" spans="1:4" ht="15.75" customHeight="1" x14ac:dyDescent="0.25">
      <c r="B86" s="155" t="s">
        <v>178</v>
      </c>
    </row>
    <row r="87" spans="1:4" ht="15.75" customHeight="1" x14ac:dyDescent="0.25">
      <c r="B87" s="293" t="s">
        <v>179</v>
      </c>
      <c r="C87" s="293"/>
    </row>
    <row r="88" spans="1:4" ht="15.75" customHeight="1" x14ac:dyDescent="0.25">
      <c r="B88" s="293" t="s">
        <v>180</v>
      </c>
      <c r="C88" s="293"/>
    </row>
    <row r="89" spans="1:4" ht="15.75" customHeight="1" x14ac:dyDescent="0.25">
      <c r="B89" s="156" t="s">
        <v>181</v>
      </c>
      <c r="C89" s="156"/>
    </row>
    <row r="90" spans="1:4" ht="15.75" customHeight="1" x14ac:dyDescent="0.25">
      <c r="B90" s="293" t="s">
        <v>182</v>
      </c>
      <c r="C90" s="293"/>
    </row>
    <row r="91" spans="1:4" ht="13.8" x14ac:dyDescent="0.25"/>
    <row r="92" spans="1:4" ht="13.8" x14ac:dyDescent="0.25"/>
    <row r="93" spans="1:4" ht="15.6" x14ac:dyDescent="0.25">
      <c r="A93" s="146" t="s">
        <v>183</v>
      </c>
      <c r="B93" s="147"/>
      <c r="C93" s="147"/>
      <c r="D93" s="147"/>
    </row>
    <row r="94" spans="1:4" ht="13.8" x14ac:dyDescent="0.25"/>
    <row r="95" spans="1:4" ht="15" customHeight="1" x14ac:dyDescent="0.25">
      <c r="B95" s="156" t="s">
        <v>319</v>
      </c>
      <c r="C95" s="157" t="s">
        <v>320</v>
      </c>
    </row>
    <row r="96" spans="1:4" ht="15" customHeight="1" x14ac:dyDescent="0.25">
      <c r="B96" s="158" t="s">
        <v>308</v>
      </c>
      <c r="C96" s="140" t="s">
        <v>309</v>
      </c>
    </row>
    <row r="97" spans="2:3" ht="15" customHeight="1" x14ac:dyDescent="0.25">
      <c r="B97" s="156" t="s">
        <v>184</v>
      </c>
      <c r="C97" s="157" t="s">
        <v>185</v>
      </c>
    </row>
    <row r="98" spans="2:3" ht="15" customHeight="1" x14ac:dyDescent="0.25">
      <c r="B98" s="158" t="s">
        <v>317</v>
      </c>
      <c r="C98" s="140" t="s">
        <v>318</v>
      </c>
    </row>
    <row r="99" spans="2:3" ht="15" customHeight="1" x14ac:dyDescent="0.25">
      <c r="B99" s="158" t="s">
        <v>186</v>
      </c>
      <c r="C99" s="140" t="s">
        <v>187</v>
      </c>
    </row>
    <row r="100" spans="2:3" ht="15" customHeight="1" x14ac:dyDescent="0.25">
      <c r="B100" s="158" t="s">
        <v>188</v>
      </c>
      <c r="C100" s="140" t="s">
        <v>108</v>
      </c>
    </row>
    <row r="101" spans="2:3" ht="15" customHeight="1" x14ac:dyDescent="0.25">
      <c r="B101" s="156" t="s">
        <v>189</v>
      </c>
      <c r="C101" s="157" t="s">
        <v>190</v>
      </c>
    </row>
    <row r="102" spans="2:3" ht="15" customHeight="1" x14ac:dyDescent="0.25">
      <c r="B102" s="156" t="s">
        <v>191</v>
      </c>
      <c r="C102" s="157" t="s">
        <v>107</v>
      </c>
    </row>
    <row r="103" spans="2:3" ht="15" customHeight="1" x14ac:dyDescent="0.25">
      <c r="B103" s="156" t="s">
        <v>192</v>
      </c>
      <c r="C103" s="157" t="s">
        <v>193</v>
      </c>
    </row>
    <row r="104" spans="2:3" ht="15" customHeight="1" x14ac:dyDescent="0.25">
      <c r="B104" s="158" t="s">
        <v>194</v>
      </c>
      <c r="C104" s="157" t="s">
        <v>195</v>
      </c>
    </row>
    <row r="105" spans="2:3" ht="15" customHeight="1" x14ac:dyDescent="0.25">
      <c r="B105" s="156" t="s">
        <v>6</v>
      </c>
      <c r="C105" s="157" t="s">
        <v>196</v>
      </c>
    </row>
    <row r="106" spans="2:3" ht="15" customHeight="1" x14ac:dyDescent="0.25">
      <c r="B106" s="159" t="s">
        <v>344</v>
      </c>
      <c r="C106" s="160" t="s">
        <v>345</v>
      </c>
    </row>
    <row r="107" spans="2:3" ht="15" customHeight="1" x14ac:dyDescent="0.25">
      <c r="B107" s="158" t="s">
        <v>197</v>
      </c>
      <c r="C107" s="140" t="s">
        <v>198</v>
      </c>
    </row>
    <row r="108" spans="2:3" ht="15" customHeight="1" x14ac:dyDescent="0.25">
      <c r="B108" s="156" t="s">
        <v>199</v>
      </c>
      <c r="C108" s="157" t="s">
        <v>200</v>
      </c>
    </row>
    <row r="109" spans="2:3" ht="15" customHeight="1" x14ac:dyDescent="0.25">
      <c r="B109" s="156" t="s">
        <v>201</v>
      </c>
      <c r="C109" s="157" t="s">
        <v>202</v>
      </c>
    </row>
    <row r="110" spans="2:3" ht="15" customHeight="1" x14ac:dyDescent="0.25">
      <c r="B110" s="156" t="s">
        <v>326</v>
      </c>
      <c r="C110" s="157" t="s">
        <v>327</v>
      </c>
    </row>
    <row r="111" spans="2:3" ht="15" customHeight="1" x14ac:dyDescent="0.25">
      <c r="B111" s="156" t="s">
        <v>203</v>
      </c>
      <c r="C111" s="157" t="s">
        <v>204</v>
      </c>
    </row>
    <row r="112" spans="2:3" ht="13.8" x14ac:dyDescent="0.25"/>
    <row r="113" spans="2:2" ht="13.8" hidden="1" x14ac:dyDescent="0.25">
      <c r="B113" s="148"/>
    </row>
    <row r="114" spans="2:2" ht="13.8" hidden="1" x14ac:dyDescent="0.25"/>
    <row r="115" spans="2:2" ht="13.8" hidden="1" x14ac:dyDescent="0.25"/>
    <row r="116" spans="2:2" ht="13.8" hidden="1" x14ac:dyDescent="0.25"/>
    <row r="117" spans="2:2" ht="13.8" hidden="1" x14ac:dyDescent="0.25"/>
    <row r="118" spans="2:2" ht="13.8" hidden="1" x14ac:dyDescent="0.25"/>
    <row r="119" spans="2:2" ht="13.8" hidden="1" x14ac:dyDescent="0.25"/>
    <row r="120" spans="2:2" ht="13.8" hidden="1" x14ac:dyDescent="0.25"/>
    <row r="121" spans="2:2" ht="13.8" hidden="1" x14ac:dyDescent="0.25"/>
    <row r="122" spans="2:2" ht="13.8" hidden="1" x14ac:dyDescent="0.25"/>
    <row r="123" spans="2:2" ht="13.8" hidden="1" x14ac:dyDescent="0.25"/>
    <row r="124" spans="2:2" ht="13.8" hidden="1" x14ac:dyDescent="0.25"/>
    <row r="125" spans="2:2" ht="13.8" hidden="1" x14ac:dyDescent="0.25"/>
    <row r="126" spans="2:2" ht="13.8" hidden="1" x14ac:dyDescent="0.25"/>
    <row r="127" spans="2:2" ht="13.8" hidden="1" x14ac:dyDescent="0.25"/>
    <row r="128" spans="2:2" ht="13.8" hidden="1" x14ac:dyDescent="0.25"/>
    <row r="129" ht="13.8" hidden="1" x14ac:dyDescent="0.25"/>
    <row r="130" ht="13.8" hidden="1" x14ac:dyDescent="0.25"/>
    <row r="131" ht="13.8" hidden="1" x14ac:dyDescent="0.25"/>
    <row r="132" ht="12.75" hidden="1" customHeight="1" x14ac:dyDescent="0.25"/>
    <row r="133" ht="12.75" hidden="1" customHeight="1" x14ac:dyDescent="0.25"/>
    <row r="134" ht="12.75" hidden="1" customHeight="1" x14ac:dyDescent="0.25"/>
    <row r="135" ht="12.75" hidden="1" customHeight="1" x14ac:dyDescent="0.25"/>
    <row r="136" ht="12.75" hidden="1" customHeight="1" x14ac:dyDescent="0.25"/>
  </sheetData>
  <sortState xmlns:xlrd2="http://schemas.microsoft.com/office/spreadsheetml/2017/richdata2" ref="B93:C105">
    <sortCondition ref="B92"/>
  </sortState>
  <mergeCells count="27">
    <mergeCell ref="A15:C15"/>
    <mergeCell ref="B6:C6"/>
    <mergeCell ref="B7:C7"/>
    <mergeCell ref="A11:C11"/>
    <mergeCell ref="B13:C13"/>
    <mergeCell ref="B14:C14"/>
    <mergeCell ref="B39:C39"/>
    <mergeCell ref="B25:C25"/>
    <mergeCell ref="B26:C26"/>
    <mergeCell ref="B27:C27"/>
    <mergeCell ref="B28:C28"/>
    <mergeCell ref="B29:C29"/>
    <mergeCell ref="B30:C30"/>
    <mergeCell ref="B31:C31"/>
    <mergeCell ref="B32:C32"/>
    <mergeCell ref="A36:C36"/>
    <mergeCell ref="A37:C37"/>
    <mergeCell ref="A38:C38"/>
    <mergeCell ref="B33:C33"/>
    <mergeCell ref="B88:C88"/>
    <mergeCell ref="B90:C90"/>
    <mergeCell ref="B40:C40"/>
    <mergeCell ref="B41:C41"/>
    <mergeCell ref="A43:C43"/>
    <mergeCell ref="A44:C44"/>
    <mergeCell ref="A45:C45"/>
    <mergeCell ref="B87:C87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8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S88"/>
  <sheetViews>
    <sheetView showGridLines="0" showZeros="0" zoomScaleNormal="100" workbookViewId="0">
      <pane xSplit="2" ySplit="6" topLeftCell="V55" activePane="bottomRight" state="frozen"/>
      <selection pane="topRight" activeCell="C1" sqref="C1"/>
      <selection pane="bottomLeft" activeCell="A7" sqref="A7"/>
      <selection pane="bottomRight" activeCell="AS72" sqref="AS72"/>
    </sheetView>
  </sheetViews>
  <sheetFormatPr defaultColWidth="9.109375" defaultRowHeight="13.2" x14ac:dyDescent="0.3"/>
  <cols>
    <col min="1" max="1" width="30.6640625" style="228" customWidth="1"/>
    <col min="2" max="2" width="6.33203125" style="235" customWidth="1"/>
    <col min="3" max="5" width="8.6640625" style="228" customWidth="1"/>
    <col min="6" max="15" width="9.109375" style="228" customWidth="1"/>
    <col min="16" max="16" width="10.44140625" style="228" customWidth="1"/>
    <col min="17" max="17" width="8.44140625" style="228" customWidth="1"/>
    <col min="18" max="18" width="8.109375" style="228" customWidth="1"/>
    <col min="19" max="19" width="7.33203125" style="228" customWidth="1"/>
    <col min="20" max="20" width="7.44140625" style="228" customWidth="1"/>
    <col min="21" max="21" width="8.44140625" style="228" customWidth="1"/>
    <col min="22" max="22" width="10" style="228" customWidth="1"/>
    <col min="23" max="23" width="10.33203125" style="228" customWidth="1"/>
    <col min="24" max="24" width="8.5546875" style="228" customWidth="1"/>
    <col min="25" max="25" width="8.6640625" style="228" customWidth="1"/>
    <col min="26" max="26" width="7.5546875" style="228" customWidth="1"/>
    <col min="27" max="27" width="9.33203125" style="228" customWidth="1"/>
    <col min="28" max="28" width="8" style="228" customWidth="1"/>
    <col min="29" max="29" width="8.109375" style="228" customWidth="1"/>
    <col min="30" max="31" width="7.44140625" style="228" customWidth="1"/>
    <col min="32" max="32" width="8.44140625" style="228" customWidth="1"/>
    <col min="33" max="33" width="10" style="228" customWidth="1"/>
    <col min="34" max="34" width="8.5546875" style="228" customWidth="1"/>
    <col min="35" max="35" width="9.6640625" style="228" customWidth="1"/>
    <col min="36" max="36" width="8.33203125" style="228" customWidth="1"/>
    <col min="37" max="38" width="8.88671875" style="228" customWidth="1"/>
    <col min="39" max="39" width="10.109375" style="228" customWidth="1"/>
    <col min="40" max="40" width="8.88671875" style="228" customWidth="1"/>
    <col min="41" max="43" width="8.5546875" style="228" customWidth="1"/>
    <col min="44" max="44" width="10" style="228" customWidth="1"/>
    <col min="45" max="45" width="10.5546875" style="228" customWidth="1"/>
    <col min="46" max="16384" width="9.109375" style="228"/>
  </cols>
  <sheetData>
    <row r="1" spans="1:45" ht="15" customHeight="1" x14ac:dyDescent="0.3"/>
    <row r="2" spans="1:45" ht="15" customHeight="1" x14ac:dyDescent="0.3">
      <c r="A2" s="230" t="s">
        <v>107</v>
      </c>
      <c r="E2" s="232"/>
      <c r="F2" s="232"/>
      <c r="W2" s="232"/>
      <c r="X2" s="232"/>
      <c r="AG2" s="232"/>
    </row>
    <row r="3" spans="1:45" ht="15" customHeight="1" x14ac:dyDescent="0.3">
      <c r="A3" s="231" t="s">
        <v>109</v>
      </c>
    </row>
    <row r="4" spans="1:45" ht="5.25" customHeight="1" thickBot="1" x14ac:dyDescent="0.35"/>
    <row r="5" spans="1:45" ht="53.4" thickTop="1" x14ac:dyDescent="0.3">
      <c r="A5" s="1" t="s">
        <v>0</v>
      </c>
      <c r="B5" s="236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310</v>
      </c>
      <c r="AR5" s="15" t="s">
        <v>41</v>
      </c>
      <c r="AS5" s="11" t="s">
        <v>42</v>
      </c>
    </row>
    <row r="6" spans="1:45" ht="40.200000000000003" thickBot="1" x14ac:dyDescent="0.35">
      <c r="A6" s="229">
        <v>2023</v>
      </c>
      <c r="B6" s="237"/>
      <c r="C6" s="176">
        <v>1</v>
      </c>
      <c r="D6" s="177">
        <v>2</v>
      </c>
      <c r="E6" s="178" t="s">
        <v>43</v>
      </c>
      <c r="F6" s="179">
        <v>4</v>
      </c>
      <c r="G6" s="180">
        <v>5</v>
      </c>
      <c r="H6" s="180">
        <v>6</v>
      </c>
      <c r="I6" s="180">
        <v>7</v>
      </c>
      <c r="J6" s="180">
        <v>8</v>
      </c>
      <c r="K6" s="181">
        <v>9</v>
      </c>
      <c r="L6" s="180">
        <v>10</v>
      </c>
      <c r="M6" s="180">
        <v>11</v>
      </c>
      <c r="N6" s="180">
        <v>12</v>
      </c>
      <c r="O6" s="182">
        <v>13</v>
      </c>
      <c r="P6" s="183" t="s">
        <v>44</v>
      </c>
      <c r="Q6" s="179">
        <v>15</v>
      </c>
      <c r="R6" s="180">
        <v>16</v>
      </c>
      <c r="S6" s="180">
        <v>17</v>
      </c>
      <c r="T6" s="180">
        <v>18</v>
      </c>
      <c r="U6" s="180">
        <v>19</v>
      </c>
      <c r="V6" s="183" t="s">
        <v>45</v>
      </c>
      <c r="W6" s="184" t="s">
        <v>46</v>
      </c>
      <c r="X6" s="185">
        <v>22</v>
      </c>
      <c r="Y6" s="180">
        <v>23</v>
      </c>
      <c r="Z6" s="180">
        <v>24</v>
      </c>
      <c r="AA6" s="178" t="s">
        <v>47</v>
      </c>
      <c r="AB6" s="179">
        <v>26</v>
      </c>
      <c r="AC6" s="182">
        <v>27</v>
      </c>
      <c r="AD6" s="182">
        <v>28</v>
      </c>
      <c r="AE6" s="186">
        <v>29</v>
      </c>
      <c r="AF6" s="187">
        <v>30</v>
      </c>
      <c r="AG6" s="184">
        <v>31</v>
      </c>
      <c r="AH6" s="185">
        <v>32</v>
      </c>
      <c r="AI6" s="185">
        <v>33</v>
      </c>
      <c r="AJ6" s="188">
        <v>34</v>
      </c>
      <c r="AK6" s="182">
        <v>35</v>
      </c>
      <c r="AL6" s="180">
        <v>36</v>
      </c>
      <c r="AM6" s="180">
        <v>37</v>
      </c>
      <c r="AN6" s="180">
        <v>38</v>
      </c>
      <c r="AO6" s="180">
        <v>39</v>
      </c>
      <c r="AP6" s="180">
        <v>40</v>
      </c>
      <c r="AQ6" s="180">
        <v>41</v>
      </c>
      <c r="AR6" s="184" t="s">
        <v>311</v>
      </c>
      <c r="AS6" s="189" t="s">
        <v>312</v>
      </c>
    </row>
    <row r="7" spans="1:45" ht="13.8" thickTop="1" x14ac:dyDescent="0.3">
      <c r="A7" s="19" t="s">
        <v>48</v>
      </c>
      <c r="B7" s="238" t="s">
        <v>229</v>
      </c>
      <c r="C7" s="20">
        <v>1138</v>
      </c>
      <c r="D7" s="21">
        <v>3131</v>
      </c>
      <c r="E7" s="22">
        <v>4269</v>
      </c>
      <c r="F7" s="23">
        <v>9685633</v>
      </c>
      <c r="G7" s="21">
        <v>1306978</v>
      </c>
      <c r="H7" s="21">
        <v>590305</v>
      </c>
      <c r="I7" s="21">
        <v>362010</v>
      </c>
      <c r="J7" s="21">
        <v>229</v>
      </c>
      <c r="K7" s="21">
        <v>431614</v>
      </c>
      <c r="L7" s="21">
        <v>1658456</v>
      </c>
      <c r="M7" s="21">
        <v>154386</v>
      </c>
      <c r="N7" s="21">
        <v>51883</v>
      </c>
      <c r="O7" s="21">
        <v>251229</v>
      </c>
      <c r="P7" s="24">
        <v>14492723</v>
      </c>
      <c r="Q7" s="23">
        <v>51838</v>
      </c>
      <c r="R7" s="23">
        <v>175012</v>
      </c>
      <c r="S7" s="23">
        <v>2211</v>
      </c>
      <c r="T7" s="23">
        <v>4861</v>
      </c>
      <c r="U7" s="21">
        <v>13445</v>
      </c>
      <c r="V7" s="24">
        <v>247367</v>
      </c>
      <c r="W7" s="25">
        <v>14740090</v>
      </c>
      <c r="X7" s="26">
        <v>3725369</v>
      </c>
      <c r="Y7" s="27"/>
      <c r="Z7" s="27"/>
      <c r="AA7" s="28">
        <v>0</v>
      </c>
      <c r="AB7" s="29"/>
      <c r="AC7" s="27"/>
      <c r="AD7" s="27"/>
      <c r="AE7" s="30"/>
      <c r="AF7" s="30"/>
      <c r="AG7" s="25">
        <v>1174405</v>
      </c>
      <c r="AH7" s="31"/>
      <c r="AI7" s="32">
        <v>13588</v>
      </c>
      <c r="AJ7" s="20"/>
      <c r="AK7" s="23">
        <v>84704</v>
      </c>
      <c r="AL7" s="27">
        <v>0</v>
      </c>
      <c r="AM7" s="27">
        <v>0</v>
      </c>
      <c r="AN7" s="23">
        <v>13599</v>
      </c>
      <c r="AO7" s="27">
        <v>0</v>
      </c>
      <c r="AP7" s="27">
        <v>119100</v>
      </c>
      <c r="AQ7" s="27"/>
      <c r="AR7" s="25">
        <v>217403</v>
      </c>
      <c r="AS7" s="33">
        <v>19875124</v>
      </c>
    </row>
    <row r="8" spans="1:45" x14ac:dyDescent="0.3">
      <c r="A8" s="34" t="s">
        <v>49</v>
      </c>
      <c r="B8" s="239" t="s">
        <v>230</v>
      </c>
      <c r="C8" s="35"/>
      <c r="D8" s="36"/>
      <c r="E8" s="37">
        <v>0</v>
      </c>
      <c r="F8" s="38"/>
      <c r="G8" s="36"/>
      <c r="H8" s="36"/>
      <c r="I8" s="36"/>
      <c r="J8" s="36"/>
      <c r="K8" s="36"/>
      <c r="L8" s="36"/>
      <c r="M8" s="36"/>
      <c r="N8" s="36"/>
      <c r="O8" s="36"/>
      <c r="P8" s="39"/>
      <c r="Q8" s="40"/>
      <c r="R8" s="36"/>
      <c r="S8" s="36"/>
      <c r="T8" s="36"/>
      <c r="U8" s="36"/>
      <c r="V8" s="39"/>
      <c r="W8" s="41">
        <v>0</v>
      </c>
      <c r="X8" s="42">
        <v>0</v>
      </c>
      <c r="Y8" s="36"/>
      <c r="Z8" s="36"/>
      <c r="AA8" s="43">
        <v>0</v>
      </c>
      <c r="AB8" s="38">
        <v>1278662</v>
      </c>
      <c r="AC8" s="44">
        <v>1130504</v>
      </c>
      <c r="AD8" s="44">
        <v>443807</v>
      </c>
      <c r="AE8" s="45">
        <v>17847</v>
      </c>
      <c r="AF8" s="46"/>
      <c r="AG8" s="47">
        <v>2870821</v>
      </c>
      <c r="AH8" s="48"/>
      <c r="AI8" s="42">
        <v>152778</v>
      </c>
      <c r="AJ8" s="38">
        <v>114881</v>
      </c>
      <c r="AK8" s="38">
        <v>1860562</v>
      </c>
      <c r="AL8" s="38">
        <v>110239</v>
      </c>
      <c r="AM8" s="38">
        <v>1001576</v>
      </c>
      <c r="AN8" s="38">
        <v>23844</v>
      </c>
      <c r="AO8" s="38">
        <v>98858</v>
      </c>
      <c r="AP8" s="38">
        <v>304928</v>
      </c>
      <c r="AQ8" s="38">
        <v>875295</v>
      </c>
      <c r="AR8" s="47">
        <v>4390183</v>
      </c>
      <c r="AS8" s="49">
        <v>7413782</v>
      </c>
    </row>
    <row r="9" spans="1:45" x14ac:dyDescent="0.3">
      <c r="A9" s="34" t="s">
        <v>50</v>
      </c>
      <c r="B9" s="239" t="s">
        <v>231</v>
      </c>
      <c r="C9" s="50">
        <v>-32</v>
      </c>
      <c r="D9" s="44">
        <v>-463</v>
      </c>
      <c r="E9" s="37">
        <v>-495</v>
      </c>
      <c r="F9" s="44">
        <v>-6619</v>
      </c>
      <c r="G9" s="44">
        <v>83235</v>
      </c>
      <c r="H9" s="44">
        <v>652</v>
      </c>
      <c r="I9" s="44">
        <v>26005</v>
      </c>
      <c r="J9" s="44">
        <v>-83</v>
      </c>
      <c r="K9" s="44">
        <v>32528</v>
      </c>
      <c r="L9" s="44">
        <v>-150853</v>
      </c>
      <c r="M9" s="44">
        <v>-50459</v>
      </c>
      <c r="N9" s="44">
        <v>-9675</v>
      </c>
      <c r="O9" s="44">
        <v>1087</v>
      </c>
      <c r="P9" s="51">
        <v>-74182</v>
      </c>
      <c r="Q9" s="38">
        <v>44</v>
      </c>
      <c r="R9" s="44">
        <v>-1130</v>
      </c>
      <c r="S9" s="44">
        <v>69</v>
      </c>
      <c r="T9" s="44">
        <v>-266</v>
      </c>
      <c r="U9" s="44">
        <v>2941</v>
      </c>
      <c r="V9" s="51">
        <v>1658</v>
      </c>
      <c r="W9" s="47">
        <v>-72524</v>
      </c>
      <c r="X9" s="52">
        <v>-94379</v>
      </c>
      <c r="Y9" s="36"/>
      <c r="Z9" s="36"/>
      <c r="AA9" s="43">
        <v>0</v>
      </c>
      <c r="AB9" s="40"/>
      <c r="AC9" s="36"/>
      <c r="AD9" s="36"/>
      <c r="AE9" s="46"/>
      <c r="AF9" s="46"/>
      <c r="AG9" s="41">
        <v>0</v>
      </c>
      <c r="AH9" s="48"/>
      <c r="AI9" s="42"/>
      <c r="AJ9" s="53"/>
      <c r="AK9" s="38"/>
      <c r="AL9" s="44"/>
      <c r="AM9" s="44"/>
      <c r="AN9" s="44"/>
      <c r="AO9" s="44"/>
      <c r="AP9" s="44">
        <v>-1230</v>
      </c>
      <c r="AQ9" s="44"/>
      <c r="AR9" s="47">
        <v>-1230</v>
      </c>
      <c r="AS9" s="49">
        <v>-168628</v>
      </c>
    </row>
    <row r="10" spans="1:45" x14ac:dyDescent="0.3">
      <c r="A10" s="54" t="s">
        <v>51</v>
      </c>
      <c r="B10" s="240" t="s">
        <v>232</v>
      </c>
      <c r="C10" s="50">
        <v>1</v>
      </c>
      <c r="D10" s="55">
        <v>0</v>
      </c>
      <c r="E10" s="56">
        <v>1</v>
      </c>
      <c r="F10" s="57">
        <v>0</v>
      </c>
      <c r="G10" s="55">
        <v>38449</v>
      </c>
      <c r="H10" s="55">
        <v>97145</v>
      </c>
      <c r="I10" s="55">
        <v>1302910</v>
      </c>
      <c r="J10" s="55">
        <v>0</v>
      </c>
      <c r="K10" s="55">
        <v>1597425</v>
      </c>
      <c r="L10" s="55">
        <v>443207</v>
      </c>
      <c r="M10" s="55">
        <v>1795324</v>
      </c>
      <c r="N10" s="55">
        <v>869571</v>
      </c>
      <c r="O10" s="55">
        <v>0</v>
      </c>
      <c r="P10" s="58">
        <v>6144031</v>
      </c>
      <c r="Q10" s="57">
        <v>6978</v>
      </c>
      <c r="R10" s="55">
        <v>11525</v>
      </c>
      <c r="S10" s="55">
        <v>505</v>
      </c>
      <c r="T10" s="55">
        <v>87</v>
      </c>
      <c r="U10" s="55">
        <v>58786</v>
      </c>
      <c r="V10" s="58">
        <v>77881</v>
      </c>
      <c r="W10" s="59">
        <v>6221912</v>
      </c>
      <c r="X10" s="60">
        <v>0</v>
      </c>
      <c r="Y10" s="61">
        <v>0</v>
      </c>
      <c r="Z10" s="61">
        <v>0</v>
      </c>
      <c r="AA10" s="62">
        <v>0</v>
      </c>
      <c r="AB10" s="63">
        <v>0</v>
      </c>
      <c r="AC10" s="61">
        <v>0</v>
      </c>
      <c r="AD10" s="61">
        <v>0</v>
      </c>
      <c r="AE10" s="64">
        <v>0</v>
      </c>
      <c r="AF10" s="64">
        <v>0</v>
      </c>
      <c r="AG10" s="59">
        <v>294357</v>
      </c>
      <c r="AH10" s="65">
        <v>0</v>
      </c>
      <c r="AI10" s="65">
        <v>0</v>
      </c>
      <c r="AJ10" s="66">
        <v>0</v>
      </c>
      <c r="AK10" s="57">
        <v>233768</v>
      </c>
      <c r="AL10" s="61">
        <v>0</v>
      </c>
      <c r="AM10" s="61">
        <v>0</v>
      </c>
      <c r="AN10" s="61">
        <v>0</v>
      </c>
      <c r="AO10" s="61">
        <v>0</v>
      </c>
      <c r="AP10" s="61">
        <v>61586</v>
      </c>
      <c r="AQ10" s="61"/>
      <c r="AR10" s="59">
        <v>295354</v>
      </c>
      <c r="AS10" s="67">
        <v>6811624</v>
      </c>
    </row>
    <row r="11" spans="1:45" x14ac:dyDescent="0.3">
      <c r="A11" s="190" t="s">
        <v>52</v>
      </c>
      <c r="B11" s="241" t="s">
        <v>233</v>
      </c>
      <c r="C11" s="191">
        <v>1</v>
      </c>
      <c r="D11" s="192">
        <v>0</v>
      </c>
      <c r="E11" s="193">
        <v>1</v>
      </c>
      <c r="F11" s="194">
        <v>0</v>
      </c>
      <c r="G11" s="192">
        <v>38449</v>
      </c>
      <c r="H11" s="192">
        <v>97145</v>
      </c>
      <c r="I11" s="192">
        <v>1302910</v>
      </c>
      <c r="J11" s="192">
        <v>0</v>
      </c>
      <c r="K11" s="192">
        <v>2852</v>
      </c>
      <c r="L11" s="192">
        <v>288377</v>
      </c>
      <c r="M11" s="192">
        <v>1400325</v>
      </c>
      <c r="N11" s="192">
        <v>869571</v>
      </c>
      <c r="O11" s="192">
        <v>0</v>
      </c>
      <c r="P11" s="195">
        <v>3999629</v>
      </c>
      <c r="Q11" s="194">
        <v>6567</v>
      </c>
      <c r="R11" s="192">
        <v>11525</v>
      </c>
      <c r="S11" s="192">
        <v>505</v>
      </c>
      <c r="T11" s="192">
        <v>87</v>
      </c>
      <c r="U11" s="192">
        <v>58786</v>
      </c>
      <c r="V11" s="195">
        <v>77470</v>
      </c>
      <c r="W11" s="196">
        <v>4077099</v>
      </c>
      <c r="X11" s="197">
        <v>0</v>
      </c>
      <c r="Y11" s="198"/>
      <c r="Z11" s="198"/>
      <c r="AA11" s="199">
        <v>0</v>
      </c>
      <c r="AB11" s="200"/>
      <c r="AC11" s="198"/>
      <c r="AD11" s="198"/>
      <c r="AE11" s="201"/>
      <c r="AF11" s="201"/>
      <c r="AG11" s="196">
        <v>294357</v>
      </c>
      <c r="AH11" s="202"/>
      <c r="AI11" s="202"/>
      <c r="AJ11" s="203"/>
      <c r="AK11" s="194">
        <v>233768</v>
      </c>
      <c r="AL11" s="198"/>
      <c r="AM11" s="198"/>
      <c r="AN11" s="198"/>
      <c r="AO11" s="198"/>
      <c r="AP11" s="198">
        <v>61586</v>
      </c>
      <c r="AQ11" s="198"/>
      <c r="AR11" s="196">
        <v>295354</v>
      </c>
      <c r="AS11" s="205">
        <v>4666811</v>
      </c>
    </row>
    <row r="12" spans="1:45" x14ac:dyDescent="0.3">
      <c r="A12" s="190" t="s">
        <v>53</v>
      </c>
      <c r="B12" s="241" t="s">
        <v>234</v>
      </c>
      <c r="C12" s="203"/>
      <c r="D12" s="198"/>
      <c r="E12" s="199">
        <v>0</v>
      </c>
      <c r="F12" s="200"/>
      <c r="G12" s="198"/>
      <c r="H12" s="192">
        <v>0</v>
      </c>
      <c r="I12" s="192">
        <v>0</v>
      </c>
      <c r="J12" s="192">
        <v>0</v>
      </c>
      <c r="K12" s="198">
        <v>0</v>
      </c>
      <c r="L12" s="192">
        <v>154830</v>
      </c>
      <c r="M12" s="192">
        <v>394999</v>
      </c>
      <c r="N12" s="198"/>
      <c r="O12" s="198"/>
      <c r="P12" s="195">
        <v>549829</v>
      </c>
      <c r="Q12" s="194">
        <v>411</v>
      </c>
      <c r="R12" s="198"/>
      <c r="S12" s="198"/>
      <c r="T12" s="198"/>
      <c r="U12" s="198"/>
      <c r="V12" s="195">
        <v>411</v>
      </c>
      <c r="W12" s="196">
        <v>550240</v>
      </c>
      <c r="X12" s="202">
        <v>0</v>
      </c>
      <c r="Y12" s="198"/>
      <c r="Z12" s="198"/>
      <c r="AA12" s="199">
        <v>0</v>
      </c>
      <c r="AB12" s="200"/>
      <c r="AC12" s="198"/>
      <c r="AD12" s="198"/>
      <c r="AE12" s="201"/>
      <c r="AF12" s="201"/>
      <c r="AG12" s="206"/>
      <c r="AH12" s="202"/>
      <c r="AI12" s="202"/>
      <c r="AJ12" s="203"/>
      <c r="AK12" s="200"/>
      <c r="AL12" s="198"/>
      <c r="AM12" s="198"/>
      <c r="AN12" s="198"/>
      <c r="AO12" s="198"/>
      <c r="AP12" s="198"/>
      <c r="AQ12" s="198"/>
      <c r="AR12" s="206">
        <v>0</v>
      </c>
      <c r="AS12" s="205">
        <v>550240</v>
      </c>
    </row>
    <row r="13" spans="1:45" x14ac:dyDescent="0.3">
      <c r="A13" s="190" t="s">
        <v>54</v>
      </c>
      <c r="B13" s="241" t="s">
        <v>235</v>
      </c>
      <c r="C13" s="191"/>
      <c r="D13" s="198"/>
      <c r="E13" s="193">
        <v>0</v>
      </c>
      <c r="F13" s="200"/>
      <c r="G13" s="198"/>
      <c r="H13" s="198"/>
      <c r="I13" s="198"/>
      <c r="J13" s="198"/>
      <c r="K13" s="192">
        <v>1594573</v>
      </c>
      <c r="L13" s="198"/>
      <c r="M13" s="198"/>
      <c r="N13" s="198"/>
      <c r="O13" s="198"/>
      <c r="P13" s="195">
        <v>1594573</v>
      </c>
      <c r="Q13" s="194"/>
      <c r="R13" s="198"/>
      <c r="S13" s="198"/>
      <c r="T13" s="198"/>
      <c r="U13" s="198"/>
      <c r="V13" s="207"/>
      <c r="W13" s="196">
        <v>1594573</v>
      </c>
      <c r="X13" s="202">
        <v>0</v>
      </c>
      <c r="Y13" s="198"/>
      <c r="Z13" s="198"/>
      <c r="AA13" s="199">
        <v>0</v>
      </c>
      <c r="AB13" s="200"/>
      <c r="AC13" s="198"/>
      <c r="AD13" s="198"/>
      <c r="AE13" s="201"/>
      <c r="AF13" s="201"/>
      <c r="AG13" s="206"/>
      <c r="AH13" s="202"/>
      <c r="AI13" s="202"/>
      <c r="AJ13" s="203"/>
      <c r="AK13" s="200"/>
      <c r="AL13" s="198"/>
      <c r="AM13" s="198"/>
      <c r="AN13" s="198"/>
      <c r="AO13" s="198"/>
      <c r="AP13" s="198"/>
      <c r="AQ13" s="198"/>
      <c r="AR13" s="206">
        <v>0</v>
      </c>
      <c r="AS13" s="205">
        <v>1594573</v>
      </c>
    </row>
    <row r="14" spans="1:45" x14ac:dyDescent="0.3">
      <c r="A14" s="68" t="s">
        <v>55</v>
      </c>
      <c r="B14" s="242" t="s">
        <v>236</v>
      </c>
      <c r="C14" s="69">
        <v>1169</v>
      </c>
      <c r="D14" s="70">
        <v>3594</v>
      </c>
      <c r="E14" s="71">
        <v>4763</v>
      </c>
      <c r="F14" s="72">
        <v>9692252</v>
      </c>
      <c r="G14" s="70">
        <v>1185294</v>
      </c>
      <c r="H14" s="70">
        <v>492508</v>
      </c>
      <c r="I14" s="70">
        <v>-966905</v>
      </c>
      <c r="J14" s="70">
        <v>312</v>
      </c>
      <c r="K14" s="70">
        <v>-1198339</v>
      </c>
      <c r="L14" s="70">
        <v>1366102</v>
      </c>
      <c r="M14" s="70">
        <v>-1590479</v>
      </c>
      <c r="N14" s="70">
        <v>-808013</v>
      </c>
      <c r="O14" s="70">
        <v>250142</v>
      </c>
      <c r="P14" s="73">
        <v>8422874</v>
      </c>
      <c r="Q14" s="72">
        <v>44816</v>
      </c>
      <c r="R14" s="70">
        <v>164617</v>
      </c>
      <c r="S14" s="70">
        <v>1637</v>
      </c>
      <c r="T14" s="70">
        <v>5040</v>
      </c>
      <c r="U14" s="70">
        <v>-48282</v>
      </c>
      <c r="V14" s="73">
        <v>167828</v>
      </c>
      <c r="W14" s="74">
        <v>8590702</v>
      </c>
      <c r="X14" s="75">
        <v>3819748</v>
      </c>
      <c r="Y14" s="70"/>
      <c r="Z14" s="70">
        <v>0</v>
      </c>
      <c r="AA14" s="76">
        <v>0</v>
      </c>
      <c r="AB14" s="172">
        <v>1278662</v>
      </c>
      <c r="AC14" s="173">
        <v>1130504</v>
      </c>
      <c r="AD14" s="173">
        <v>443807</v>
      </c>
      <c r="AE14" s="173">
        <v>17847</v>
      </c>
      <c r="AF14" s="77"/>
      <c r="AG14" s="74">
        <v>3750869</v>
      </c>
      <c r="AH14" s="78">
        <v>0</v>
      </c>
      <c r="AI14" s="79">
        <v>166366</v>
      </c>
      <c r="AJ14" s="72">
        <v>114881</v>
      </c>
      <c r="AK14" s="72">
        <v>1711498</v>
      </c>
      <c r="AL14" s="70">
        <v>110239</v>
      </c>
      <c r="AM14" s="70">
        <v>1001576</v>
      </c>
      <c r="AN14" s="70">
        <v>37443</v>
      </c>
      <c r="AO14" s="70">
        <v>98858</v>
      </c>
      <c r="AP14" s="70">
        <v>363672</v>
      </c>
      <c r="AQ14" s="70">
        <v>875295</v>
      </c>
      <c r="AR14" s="74">
        <v>4313462</v>
      </c>
      <c r="AS14" s="80">
        <v>20645910</v>
      </c>
    </row>
    <row r="15" spans="1:45" x14ac:dyDescent="0.3">
      <c r="A15" s="81" t="s">
        <v>56</v>
      </c>
      <c r="B15" s="243" t="s">
        <v>237</v>
      </c>
      <c r="C15" s="82">
        <v>0</v>
      </c>
      <c r="D15" s="83">
        <v>0</v>
      </c>
      <c r="E15" s="84">
        <v>0</v>
      </c>
      <c r="F15" s="85">
        <v>9692252</v>
      </c>
      <c r="G15" s="83">
        <v>700923</v>
      </c>
      <c r="H15" s="83">
        <v>-69040</v>
      </c>
      <c r="I15" s="83">
        <v>-2179965</v>
      </c>
      <c r="J15" s="83">
        <v>0</v>
      </c>
      <c r="K15" s="83">
        <v>-1377067</v>
      </c>
      <c r="L15" s="83">
        <v>-3876581</v>
      </c>
      <c r="M15" s="83">
        <v>-1866419</v>
      </c>
      <c r="N15" s="83">
        <v>-951611</v>
      </c>
      <c r="O15" s="83">
        <v>0</v>
      </c>
      <c r="P15" s="86">
        <v>72492</v>
      </c>
      <c r="Q15" s="85">
        <v>0</v>
      </c>
      <c r="R15" s="83">
        <v>0</v>
      </c>
      <c r="S15" s="83">
        <v>0</v>
      </c>
      <c r="T15" s="83">
        <v>0</v>
      </c>
      <c r="U15" s="83">
        <v>-58122</v>
      </c>
      <c r="V15" s="86">
        <v>-58122</v>
      </c>
      <c r="W15" s="87">
        <v>14370</v>
      </c>
      <c r="X15" s="88">
        <v>2060171</v>
      </c>
      <c r="Y15" s="83">
        <v>0</v>
      </c>
      <c r="Z15" s="83">
        <v>0</v>
      </c>
      <c r="AA15" s="89">
        <v>0</v>
      </c>
      <c r="AB15" s="194">
        <v>1278662</v>
      </c>
      <c r="AC15" s="192">
        <v>1130504</v>
      </c>
      <c r="AD15" s="192">
        <v>443807</v>
      </c>
      <c r="AE15" s="204">
        <v>17847</v>
      </c>
      <c r="AF15" s="90">
        <v>-1346957</v>
      </c>
      <c r="AG15" s="87">
        <v>-1346957</v>
      </c>
      <c r="AH15" s="88">
        <v>-1104943</v>
      </c>
      <c r="AI15" s="91">
        <v>79769</v>
      </c>
      <c r="AJ15" s="85">
        <v>0</v>
      </c>
      <c r="AK15" s="85">
        <v>615531</v>
      </c>
      <c r="AL15" s="83">
        <v>110239</v>
      </c>
      <c r="AM15" s="83">
        <v>1001576</v>
      </c>
      <c r="AN15" s="83">
        <v>0</v>
      </c>
      <c r="AO15" s="83">
        <v>76259</v>
      </c>
      <c r="AP15" s="83">
        <v>362737</v>
      </c>
      <c r="AQ15" s="83">
        <v>0</v>
      </c>
      <c r="AR15" s="87">
        <v>2166342</v>
      </c>
      <c r="AS15" s="92">
        <v>1868752</v>
      </c>
    </row>
    <row r="16" spans="1:45" x14ac:dyDescent="0.3">
      <c r="A16" s="190" t="s">
        <v>57</v>
      </c>
      <c r="B16" s="241" t="s">
        <v>238</v>
      </c>
      <c r="C16" s="191"/>
      <c r="D16" s="192"/>
      <c r="E16" s="193">
        <v>0</v>
      </c>
      <c r="F16" s="194"/>
      <c r="G16" s="192"/>
      <c r="H16" s="192"/>
      <c r="I16" s="192"/>
      <c r="J16" s="192"/>
      <c r="K16" s="198"/>
      <c r="L16" s="192"/>
      <c r="M16" s="192"/>
      <c r="N16" s="192"/>
      <c r="O16" s="192"/>
      <c r="P16" s="195">
        <v>0</v>
      </c>
      <c r="Q16" s="194"/>
      <c r="R16" s="192"/>
      <c r="S16" s="192"/>
      <c r="T16" s="192"/>
      <c r="U16" s="192"/>
      <c r="V16" s="195">
        <v>0</v>
      </c>
      <c r="W16" s="196">
        <v>0</v>
      </c>
      <c r="X16" s="197"/>
      <c r="Y16" s="192"/>
      <c r="Z16" s="192"/>
      <c r="AA16" s="193">
        <v>0</v>
      </c>
      <c r="AB16" s="200"/>
      <c r="AC16" s="198"/>
      <c r="AD16" s="198"/>
      <c r="AE16" s="201"/>
      <c r="AF16" s="201"/>
      <c r="AG16" s="196">
        <v>0</v>
      </c>
      <c r="AH16" s="202"/>
      <c r="AI16" s="197"/>
      <c r="AJ16" s="191"/>
      <c r="AK16" s="194"/>
      <c r="AL16" s="192"/>
      <c r="AM16" s="192"/>
      <c r="AN16" s="192"/>
      <c r="AO16" s="192"/>
      <c r="AP16" s="192">
        <v>0</v>
      </c>
      <c r="AQ16" s="192"/>
      <c r="AR16" s="196">
        <v>0</v>
      </c>
      <c r="AS16" s="205">
        <v>0</v>
      </c>
    </row>
    <row r="17" spans="1:45" x14ac:dyDescent="0.3">
      <c r="A17" s="190" t="s">
        <v>58</v>
      </c>
      <c r="B17" s="241" t="s">
        <v>239</v>
      </c>
      <c r="C17" s="191"/>
      <c r="D17" s="192"/>
      <c r="E17" s="193">
        <v>0</v>
      </c>
      <c r="F17" s="194"/>
      <c r="G17" s="192"/>
      <c r="H17" s="192"/>
      <c r="I17" s="192"/>
      <c r="J17" s="192"/>
      <c r="K17" s="198"/>
      <c r="L17" s="192"/>
      <c r="M17" s="192"/>
      <c r="N17" s="192"/>
      <c r="O17" s="192"/>
      <c r="P17" s="195">
        <v>0</v>
      </c>
      <c r="Q17" s="194"/>
      <c r="R17" s="192"/>
      <c r="S17" s="192"/>
      <c r="T17" s="192"/>
      <c r="U17" s="192"/>
      <c r="V17" s="195">
        <v>0</v>
      </c>
      <c r="W17" s="196">
        <v>0</v>
      </c>
      <c r="X17" s="197"/>
      <c r="Y17" s="192"/>
      <c r="Z17" s="192"/>
      <c r="AA17" s="193">
        <v>0</v>
      </c>
      <c r="AB17" s="200"/>
      <c r="AC17" s="198"/>
      <c r="AD17" s="198"/>
      <c r="AE17" s="201"/>
      <c r="AF17" s="201"/>
      <c r="AG17" s="196">
        <v>0</v>
      </c>
      <c r="AH17" s="202"/>
      <c r="AI17" s="197"/>
      <c r="AJ17" s="191"/>
      <c r="AK17" s="194"/>
      <c r="AL17" s="192"/>
      <c r="AM17" s="192"/>
      <c r="AN17" s="192"/>
      <c r="AO17" s="192"/>
      <c r="AP17" s="192"/>
      <c r="AQ17" s="192"/>
      <c r="AR17" s="196">
        <v>0</v>
      </c>
      <c r="AS17" s="205">
        <v>0</v>
      </c>
    </row>
    <row r="18" spans="1:45" x14ac:dyDescent="0.3">
      <c r="A18" s="190" t="s">
        <v>59</v>
      </c>
      <c r="B18" s="241" t="s">
        <v>240</v>
      </c>
      <c r="C18" s="191"/>
      <c r="D18" s="192"/>
      <c r="E18" s="193">
        <v>0</v>
      </c>
      <c r="F18" s="194">
        <v>9692252</v>
      </c>
      <c r="G18" s="192">
        <v>709407</v>
      </c>
      <c r="H18" s="192">
        <v>-83534</v>
      </c>
      <c r="I18" s="192">
        <v>-2179965</v>
      </c>
      <c r="J18" s="192">
        <v>0</v>
      </c>
      <c r="K18" s="192">
        <v>-1377067</v>
      </c>
      <c r="L18" s="192">
        <v>-3892831</v>
      </c>
      <c r="M18" s="192">
        <v>-2118845</v>
      </c>
      <c r="N18" s="192">
        <v>-977459</v>
      </c>
      <c r="O18" s="192">
        <v>0</v>
      </c>
      <c r="P18" s="195">
        <v>-228042</v>
      </c>
      <c r="Q18" s="194">
        <v>0</v>
      </c>
      <c r="R18" s="194">
        <v>0</v>
      </c>
      <c r="S18" s="194">
        <v>0</v>
      </c>
      <c r="T18" s="194">
        <v>0</v>
      </c>
      <c r="U18" s="192">
        <v>-58122</v>
      </c>
      <c r="V18" s="195">
        <v>-58122</v>
      </c>
      <c r="W18" s="196">
        <v>-286164</v>
      </c>
      <c r="X18" s="197">
        <v>0</v>
      </c>
      <c r="Y18" s="192">
        <v>0</v>
      </c>
      <c r="Z18" s="192">
        <v>154550</v>
      </c>
      <c r="AA18" s="193">
        <v>154550</v>
      </c>
      <c r="AB18" s="200"/>
      <c r="AC18" s="198"/>
      <c r="AD18" s="198"/>
      <c r="AE18" s="201"/>
      <c r="AF18" s="201"/>
      <c r="AG18" s="196">
        <v>0</v>
      </c>
      <c r="AH18" s="202"/>
      <c r="AI18" s="197">
        <v>0</v>
      </c>
      <c r="AJ18" s="191"/>
      <c r="AK18" s="194"/>
      <c r="AL18" s="192"/>
      <c r="AM18" s="192"/>
      <c r="AN18" s="192"/>
      <c r="AO18" s="192"/>
      <c r="AP18" s="192">
        <v>362737</v>
      </c>
      <c r="AQ18" s="192"/>
      <c r="AR18" s="196">
        <v>362737</v>
      </c>
      <c r="AS18" s="205">
        <v>231123</v>
      </c>
    </row>
    <row r="19" spans="1:45" x14ac:dyDescent="0.3">
      <c r="A19" s="190" t="s">
        <v>24</v>
      </c>
      <c r="B19" s="241" t="s">
        <v>241</v>
      </c>
      <c r="C19" s="191"/>
      <c r="D19" s="192"/>
      <c r="E19" s="193">
        <v>0</v>
      </c>
      <c r="F19" s="194"/>
      <c r="G19" s="192">
        <v>0</v>
      </c>
      <c r="H19" s="192">
        <v>0</v>
      </c>
      <c r="I19" s="192">
        <v>0</v>
      </c>
      <c r="J19" s="192">
        <v>0</v>
      </c>
      <c r="K19" s="198"/>
      <c r="L19" s="192">
        <v>0</v>
      </c>
      <c r="M19" s="192"/>
      <c r="N19" s="192">
        <v>0</v>
      </c>
      <c r="O19" s="192"/>
      <c r="P19" s="195">
        <v>0</v>
      </c>
      <c r="Q19" s="194"/>
      <c r="R19" s="192"/>
      <c r="S19" s="192"/>
      <c r="T19" s="192"/>
      <c r="U19" s="192">
        <v>0</v>
      </c>
      <c r="V19" s="195">
        <v>0</v>
      </c>
      <c r="W19" s="196">
        <v>0</v>
      </c>
      <c r="X19" s="197">
        <v>179769</v>
      </c>
      <c r="Y19" s="192">
        <v>0</v>
      </c>
      <c r="Z19" s="192">
        <v>-154550</v>
      </c>
      <c r="AA19" s="193">
        <v>-154550</v>
      </c>
      <c r="AB19" s="200"/>
      <c r="AC19" s="198"/>
      <c r="AD19" s="198"/>
      <c r="AE19" s="201"/>
      <c r="AF19" s="201"/>
      <c r="AG19" s="196">
        <v>0</v>
      </c>
      <c r="AH19" s="202"/>
      <c r="AI19" s="197"/>
      <c r="AJ19" s="191"/>
      <c r="AK19" s="194"/>
      <c r="AL19" s="192"/>
      <c r="AM19" s="192"/>
      <c r="AN19" s="192"/>
      <c r="AO19" s="192"/>
      <c r="AP19" s="192">
        <v>0</v>
      </c>
      <c r="AQ19" s="192"/>
      <c r="AR19" s="196">
        <v>0</v>
      </c>
      <c r="AS19" s="205">
        <v>25219</v>
      </c>
    </row>
    <row r="20" spans="1:45" x14ac:dyDescent="0.3">
      <c r="A20" s="190" t="s">
        <v>60</v>
      </c>
      <c r="B20" s="241" t="s">
        <v>242</v>
      </c>
      <c r="C20" s="191"/>
      <c r="D20" s="192"/>
      <c r="E20" s="193"/>
      <c r="F20" s="194"/>
      <c r="G20" s="192">
        <v>-38449</v>
      </c>
      <c r="H20" s="192">
        <v>14494</v>
      </c>
      <c r="I20" s="192">
        <v>0</v>
      </c>
      <c r="J20" s="192">
        <v>0</v>
      </c>
      <c r="K20" s="198"/>
      <c r="L20" s="192"/>
      <c r="M20" s="192">
        <v>0</v>
      </c>
      <c r="N20" s="192">
        <v>25848</v>
      </c>
      <c r="O20" s="192"/>
      <c r="P20" s="195">
        <v>1893</v>
      </c>
      <c r="Q20" s="194"/>
      <c r="R20" s="192"/>
      <c r="S20" s="192"/>
      <c r="T20" s="192"/>
      <c r="U20" s="192">
        <v>0</v>
      </c>
      <c r="V20" s="195">
        <v>0</v>
      </c>
      <c r="W20" s="196">
        <v>1893</v>
      </c>
      <c r="X20" s="197">
        <v>0</v>
      </c>
      <c r="Y20" s="192">
        <v>-24813</v>
      </c>
      <c r="Z20" s="192"/>
      <c r="AA20" s="193">
        <v>-24813</v>
      </c>
      <c r="AB20" s="200"/>
      <c r="AC20" s="198"/>
      <c r="AD20" s="198"/>
      <c r="AE20" s="201"/>
      <c r="AF20" s="201"/>
      <c r="AG20" s="196"/>
      <c r="AH20" s="202"/>
      <c r="AI20" s="197"/>
      <c r="AJ20" s="191"/>
      <c r="AK20" s="194"/>
      <c r="AL20" s="192"/>
      <c r="AM20" s="192"/>
      <c r="AN20" s="192"/>
      <c r="AO20" s="192"/>
      <c r="AP20" s="192">
        <v>0</v>
      </c>
      <c r="AQ20" s="192"/>
      <c r="AR20" s="196">
        <v>0</v>
      </c>
      <c r="AS20" s="205">
        <v>-22920</v>
      </c>
    </row>
    <row r="21" spans="1:45" x14ac:dyDescent="0.3">
      <c r="A21" s="190" t="s">
        <v>61</v>
      </c>
      <c r="B21" s="241" t="s">
        <v>243</v>
      </c>
      <c r="C21" s="191">
        <v>0</v>
      </c>
      <c r="D21" s="192">
        <v>0</v>
      </c>
      <c r="E21" s="193">
        <v>0</v>
      </c>
      <c r="F21" s="194"/>
      <c r="G21" s="192">
        <v>0</v>
      </c>
      <c r="H21" s="194"/>
      <c r="I21" s="192"/>
      <c r="J21" s="192"/>
      <c r="K21" s="198"/>
      <c r="L21" s="192">
        <v>16222</v>
      </c>
      <c r="M21" s="192">
        <v>170344</v>
      </c>
      <c r="N21" s="192">
        <v>0</v>
      </c>
      <c r="O21" s="192">
        <v>0</v>
      </c>
      <c r="P21" s="195">
        <v>186566</v>
      </c>
      <c r="Q21" s="194">
        <v>0</v>
      </c>
      <c r="R21" s="192">
        <v>0</v>
      </c>
      <c r="S21" s="192">
        <v>0</v>
      </c>
      <c r="T21" s="192">
        <v>0</v>
      </c>
      <c r="U21" s="192"/>
      <c r="V21" s="195">
        <v>0</v>
      </c>
      <c r="W21" s="196">
        <v>186566</v>
      </c>
      <c r="X21" s="197">
        <v>1297942</v>
      </c>
      <c r="Y21" s="192">
        <v>0</v>
      </c>
      <c r="Z21" s="192"/>
      <c r="AA21" s="193">
        <v>0</v>
      </c>
      <c r="AB21" s="194">
        <v>1278662</v>
      </c>
      <c r="AC21" s="192">
        <v>1130504</v>
      </c>
      <c r="AD21" s="192">
        <v>443807</v>
      </c>
      <c r="AE21" s="204">
        <v>17847</v>
      </c>
      <c r="AF21" s="204">
        <v>-971111</v>
      </c>
      <c r="AG21" s="196">
        <v>-971111</v>
      </c>
      <c r="AH21" s="202"/>
      <c r="AI21" s="197">
        <v>75975</v>
      </c>
      <c r="AJ21" s="191"/>
      <c r="AK21" s="194">
        <v>431488</v>
      </c>
      <c r="AL21" s="192">
        <v>110239</v>
      </c>
      <c r="AM21" s="192">
        <v>0</v>
      </c>
      <c r="AN21" s="192">
        <v>0</v>
      </c>
      <c r="AO21" s="192">
        <v>70220</v>
      </c>
      <c r="AP21" s="192">
        <v>0</v>
      </c>
      <c r="AQ21" s="192"/>
      <c r="AR21" s="119">
        <v>611947</v>
      </c>
      <c r="AS21" s="205">
        <v>1201319</v>
      </c>
    </row>
    <row r="22" spans="1:45" x14ac:dyDescent="0.3">
      <c r="A22" s="190" t="s">
        <v>62</v>
      </c>
      <c r="B22" s="241" t="s">
        <v>244</v>
      </c>
      <c r="C22" s="191"/>
      <c r="D22" s="192"/>
      <c r="E22" s="193">
        <v>0</v>
      </c>
      <c r="F22" s="194"/>
      <c r="G22" s="192">
        <v>29965</v>
      </c>
      <c r="H22" s="194"/>
      <c r="I22" s="192">
        <v>0</v>
      </c>
      <c r="J22" s="192">
        <v>0</v>
      </c>
      <c r="K22" s="198">
        <v>0</v>
      </c>
      <c r="L22" s="192">
        <v>28</v>
      </c>
      <c r="M22" s="192">
        <v>82082</v>
      </c>
      <c r="N22" s="192">
        <v>0</v>
      </c>
      <c r="O22" s="192">
        <v>0</v>
      </c>
      <c r="P22" s="195">
        <v>112075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5"/>
      <c r="W22" s="196">
        <v>112075</v>
      </c>
      <c r="X22" s="197">
        <v>582460</v>
      </c>
      <c r="Y22" s="192">
        <v>24813</v>
      </c>
      <c r="Z22" s="192"/>
      <c r="AA22" s="193">
        <v>24813</v>
      </c>
      <c r="AB22" s="200"/>
      <c r="AC22" s="198"/>
      <c r="AD22" s="198"/>
      <c r="AE22" s="201"/>
      <c r="AF22" s="204">
        <v>-375846</v>
      </c>
      <c r="AG22" s="196">
        <v>-375846</v>
      </c>
      <c r="AH22" s="197">
        <v>-1104943</v>
      </c>
      <c r="AI22" s="197">
        <v>3794</v>
      </c>
      <c r="AJ22" s="191">
        <v>0</v>
      </c>
      <c r="AK22" s="194">
        <v>184043</v>
      </c>
      <c r="AL22" s="192">
        <v>0</v>
      </c>
      <c r="AM22" s="192">
        <v>1001576</v>
      </c>
      <c r="AN22" s="192">
        <v>0</v>
      </c>
      <c r="AO22" s="192">
        <v>6039</v>
      </c>
      <c r="AP22" s="192">
        <v>0</v>
      </c>
      <c r="AQ22" s="192"/>
      <c r="AR22" s="196">
        <v>1191658</v>
      </c>
      <c r="AS22" s="205">
        <v>434010</v>
      </c>
    </row>
    <row r="23" spans="1:45" x14ac:dyDescent="0.3">
      <c r="A23" s="208" t="s">
        <v>63</v>
      </c>
      <c r="B23" s="241" t="s">
        <v>245</v>
      </c>
      <c r="C23" s="191"/>
      <c r="D23" s="192"/>
      <c r="E23" s="193">
        <v>0</v>
      </c>
      <c r="F23" s="194"/>
      <c r="G23" s="198"/>
      <c r="H23" s="194"/>
      <c r="I23" s="192"/>
      <c r="J23" s="192"/>
      <c r="K23" s="198"/>
      <c r="L23" s="192">
        <v>28</v>
      </c>
      <c r="M23" s="192">
        <v>39728</v>
      </c>
      <c r="N23" s="192"/>
      <c r="O23" s="192"/>
      <c r="P23" s="195">
        <v>39756</v>
      </c>
      <c r="Q23" s="194"/>
      <c r="R23" s="192"/>
      <c r="S23" s="192"/>
      <c r="T23" s="192"/>
      <c r="U23" s="192"/>
      <c r="V23" s="195">
        <v>0</v>
      </c>
      <c r="W23" s="196">
        <v>39756</v>
      </c>
      <c r="X23" s="197">
        <v>0</v>
      </c>
      <c r="Y23" s="192"/>
      <c r="Z23" s="192"/>
      <c r="AA23" s="193">
        <v>0</v>
      </c>
      <c r="AB23" s="200"/>
      <c r="AC23" s="198"/>
      <c r="AD23" s="198"/>
      <c r="AE23" s="201"/>
      <c r="AF23" s="204">
        <v>-17032</v>
      </c>
      <c r="AG23" s="196">
        <v>-17032</v>
      </c>
      <c r="AH23" s="197">
        <v>-1305</v>
      </c>
      <c r="AI23" s="197">
        <v>0</v>
      </c>
      <c r="AJ23" s="191"/>
      <c r="AK23" s="194">
        <v>0</v>
      </c>
      <c r="AL23" s="192">
        <v>0</v>
      </c>
      <c r="AM23" s="192">
        <v>0</v>
      </c>
      <c r="AN23" s="192">
        <v>0</v>
      </c>
      <c r="AO23" s="192">
        <v>0</v>
      </c>
      <c r="AP23" s="192">
        <v>0</v>
      </c>
      <c r="AQ23" s="192"/>
      <c r="AR23" s="196">
        <v>0</v>
      </c>
      <c r="AS23" s="205">
        <v>21419</v>
      </c>
    </row>
    <row r="24" spans="1:45" x14ac:dyDescent="0.3">
      <c r="A24" s="208" t="s">
        <v>64</v>
      </c>
      <c r="B24" s="241" t="s">
        <v>246</v>
      </c>
      <c r="C24" s="191"/>
      <c r="D24" s="192"/>
      <c r="E24" s="193">
        <v>0</v>
      </c>
      <c r="F24" s="194"/>
      <c r="G24" s="192">
        <v>29965</v>
      </c>
      <c r="H24" s="194"/>
      <c r="I24" s="192"/>
      <c r="J24" s="192"/>
      <c r="K24" s="198"/>
      <c r="L24" s="192">
        <v>0</v>
      </c>
      <c r="M24" s="192">
        <v>0</v>
      </c>
      <c r="N24" s="192"/>
      <c r="O24" s="192"/>
      <c r="P24" s="195">
        <v>29965</v>
      </c>
      <c r="Q24" s="194"/>
      <c r="R24" s="192"/>
      <c r="S24" s="192"/>
      <c r="T24" s="192"/>
      <c r="U24" s="192"/>
      <c r="V24" s="195">
        <v>0</v>
      </c>
      <c r="W24" s="196">
        <v>29965</v>
      </c>
      <c r="X24" s="197">
        <v>203449</v>
      </c>
      <c r="Y24" s="192"/>
      <c r="Z24" s="192"/>
      <c r="AA24" s="193">
        <v>0</v>
      </c>
      <c r="AB24" s="200"/>
      <c r="AC24" s="198"/>
      <c r="AD24" s="198"/>
      <c r="AE24" s="201"/>
      <c r="AF24" s="204">
        <v>-63549</v>
      </c>
      <c r="AG24" s="196">
        <v>-63549</v>
      </c>
      <c r="AH24" s="197">
        <v>-126251</v>
      </c>
      <c r="AI24" s="197">
        <v>0</v>
      </c>
      <c r="AJ24" s="191"/>
      <c r="AK24" s="194">
        <v>0</v>
      </c>
      <c r="AL24" s="192">
        <v>0</v>
      </c>
      <c r="AM24" s="192">
        <v>0</v>
      </c>
      <c r="AN24" s="192">
        <v>0</v>
      </c>
      <c r="AO24" s="192">
        <v>0</v>
      </c>
      <c r="AP24" s="192">
        <v>0</v>
      </c>
      <c r="AQ24" s="192"/>
      <c r="AR24" s="196">
        <v>0</v>
      </c>
      <c r="AS24" s="205">
        <v>43614</v>
      </c>
    </row>
    <row r="25" spans="1:45" x14ac:dyDescent="0.3">
      <c r="A25" s="208" t="s">
        <v>65</v>
      </c>
      <c r="B25" s="241" t="s">
        <v>247</v>
      </c>
      <c r="C25" s="191"/>
      <c r="D25" s="192"/>
      <c r="E25" s="193">
        <v>0</v>
      </c>
      <c r="F25" s="194"/>
      <c r="G25" s="198"/>
      <c r="H25" s="194"/>
      <c r="I25" s="192"/>
      <c r="J25" s="192"/>
      <c r="K25" s="198"/>
      <c r="L25" s="192">
        <v>0</v>
      </c>
      <c r="M25" s="192">
        <v>0</v>
      </c>
      <c r="N25" s="192"/>
      <c r="O25" s="192"/>
      <c r="P25" s="195">
        <v>0</v>
      </c>
      <c r="Q25" s="194"/>
      <c r="R25" s="192"/>
      <c r="S25" s="192"/>
      <c r="T25" s="192"/>
      <c r="U25" s="192"/>
      <c r="V25" s="195">
        <v>0</v>
      </c>
      <c r="W25" s="196">
        <v>0</v>
      </c>
      <c r="X25" s="197">
        <v>0</v>
      </c>
      <c r="Y25" s="192"/>
      <c r="Z25" s="192"/>
      <c r="AA25" s="193">
        <v>0</v>
      </c>
      <c r="AB25" s="200"/>
      <c r="AC25" s="198"/>
      <c r="AD25" s="198"/>
      <c r="AE25" s="201"/>
      <c r="AF25" s="204">
        <v>0</v>
      </c>
      <c r="AG25" s="196">
        <v>0</v>
      </c>
      <c r="AH25" s="197">
        <v>0</v>
      </c>
      <c r="AI25" s="197">
        <v>0</v>
      </c>
      <c r="AJ25" s="191"/>
      <c r="AK25" s="194">
        <v>0</v>
      </c>
      <c r="AL25" s="192">
        <v>0</v>
      </c>
      <c r="AM25" s="192">
        <v>0</v>
      </c>
      <c r="AN25" s="192">
        <v>0</v>
      </c>
      <c r="AO25" s="192">
        <v>0</v>
      </c>
      <c r="AP25" s="192">
        <v>0</v>
      </c>
      <c r="AQ25" s="192"/>
      <c r="AR25" s="196">
        <v>0</v>
      </c>
      <c r="AS25" s="205">
        <v>0</v>
      </c>
    </row>
    <row r="26" spans="1:45" x14ac:dyDescent="0.3">
      <c r="A26" s="208" t="s">
        <v>66</v>
      </c>
      <c r="B26" s="241" t="s">
        <v>248</v>
      </c>
      <c r="C26" s="191"/>
      <c r="D26" s="192"/>
      <c r="E26" s="193">
        <v>0</v>
      </c>
      <c r="F26" s="194"/>
      <c r="G26" s="198"/>
      <c r="H26" s="194"/>
      <c r="I26" s="192"/>
      <c r="J26" s="192"/>
      <c r="K26" s="198"/>
      <c r="L26" s="192">
        <v>0</v>
      </c>
      <c r="M26" s="192">
        <v>0</v>
      </c>
      <c r="N26" s="192"/>
      <c r="O26" s="192"/>
      <c r="P26" s="195">
        <v>0</v>
      </c>
      <c r="Q26" s="194"/>
      <c r="R26" s="192"/>
      <c r="S26" s="192"/>
      <c r="T26" s="192"/>
      <c r="U26" s="192"/>
      <c r="V26" s="195">
        <v>0</v>
      </c>
      <c r="W26" s="196">
        <v>0</v>
      </c>
      <c r="X26" s="197">
        <v>4978</v>
      </c>
      <c r="Y26" s="192"/>
      <c r="Z26" s="192"/>
      <c r="AA26" s="193">
        <v>0</v>
      </c>
      <c r="AB26" s="200"/>
      <c r="AC26" s="198"/>
      <c r="AD26" s="198"/>
      <c r="AE26" s="201"/>
      <c r="AF26" s="204">
        <v>-2185</v>
      </c>
      <c r="AG26" s="196">
        <v>-2185</v>
      </c>
      <c r="AH26" s="197">
        <v>-1965</v>
      </c>
      <c r="AI26" s="197">
        <v>0</v>
      </c>
      <c r="AJ26" s="191"/>
      <c r="AK26" s="194">
        <v>0</v>
      </c>
      <c r="AL26" s="192">
        <v>0</v>
      </c>
      <c r="AM26" s="192">
        <v>0</v>
      </c>
      <c r="AN26" s="192">
        <v>0</v>
      </c>
      <c r="AO26" s="192">
        <v>481</v>
      </c>
      <c r="AP26" s="192">
        <v>0</v>
      </c>
      <c r="AQ26" s="192"/>
      <c r="AR26" s="196">
        <v>481</v>
      </c>
      <c r="AS26" s="205">
        <v>1309</v>
      </c>
    </row>
    <row r="27" spans="1:45" x14ac:dyDescent="0.3">
      <c r="A27" s="208" t="s">
        <v>67</v>
      </c>
      <c r="B27" s="241" t="s">
        <v>249</v>
      </c>
      <c r="C27" s="191"/>
      <c r="D27" s="192"/>
      <c r="E27" s="193">
        <v>0</v>
      </c>
      <c r="F27" s="194"/>
      <c r="G27" s="198"/>
      <c r="H27" s="194"/>
      <c r="I27" s="192"/>
      <c r="J27" s="192"/>
      <c r="K27" s="198"/>
      <c r="L27" s="192">
        <v>0</v>
      </c>
      <c r="M27" s="192">
        <v>9351</v>
      </c>
      <c r="N27" s="192"/>
      <c r="O27" s="192"/>
      <c r="P27" s="195">
        <v>9351</v>
      </c>
      <c r="Q27" s="194"/>
      <c r="R27" s="192"/>
      <c r="S27" s="192"/>
      <c r="T27" s="192"/>
      <c r="U27" s="192"/>
      <c r="V27" s="195">
        <v>0</v>
      </c>
      <c r="W27" s="196">
        <v>9351</v>
      </c>
      <c r="X27" s="197">
        <v>35704</v>
      </c>
      <c r="Y27" s="192"/>
      <c r="Z27" s="192"/>
      <c r="AA27" s="193">
        <v>0</v>
      </c>
      <c r="AB27" s="200"/>
      <c r="AC27" s="198"/>
      <c r="AD27" s="198"/>
      <c r="AE27" s="201"/>
      <c r="AF27" s="204">
        <v>-8052</v>
      </c>
      <c r="AG27" s="196">
        <v>-8052</v>
      </c>
      <c r="AH27" s="197">
        <v>-30191</v>
      </c>
      <c r="AI27" s="197">
        <v>0</v>
      </c>
      <c r="AJ27" s="191"/>
      <c r="AK27" s="194">
        <v>0</v>
      </c>
      <c r="AL27" s="192">
        <v>0</v>
      </c>
      <c r="AM27" s="192">
        <v>0</v>
      </c>
      <c r="AN27" s="192">
        <v>0</v>
      </c>
      <c r="AO27" s="192">
        <v>0</v>
      </c>
      <c r="AP27" s="192">
        <v>0</v>
      </c>
      <c r="AQ27" s="192"/>
      <c r="AR27" s="196">
        <v>0</v>
      </c>
      <c r="AS27" s="205">
        <v>6812</v>
      </c>
    </row>
    <row r="28" spans="1:45" x14ac:dyDescent="0.3">
      <c r="A28" s="208" t="s">
        <v>68</v>
      </c>
      <c r="B28" s="241" t="s">
        <v>250</v>
      </c>
      <c r="C28" s="191"/>
      <c r="D28" s="192"/>
      <c r="E28" s="193">
        <v>0</v>
      </c>
      <c r="F28" s="194"/>
      <c r="G28" s="198"/>
      <c r="H28" s="194"/>
      <c r="I28" s="192"/>
      <c r="J28" s="192"/>
      <c r="K28" s="198"/>
      <c r="L28" s="192">
        <v>0</v>
      </c>
      <c r="M28" s="192">
        <v>0</v>
      </c>
      <c r="N28" s="192"/>
      <c r="O28" s="192"/>
      <c r="P28" s="195">
        <v>0</v>
      </c>
      <c r="Q28" s="194"/>
      <c r="R28" s="192"/>
      <c r="S28" s="192"/>
      <c r="T28" s="192"/>
      <c r="U28" s="192"/>
      <c r="V28" s="195">
        <v>0</v>
      </c>
      <c r="W28" s="196">
        <v>0</v>
      </c>
      <c r="X28" s="197">
        <v>34630</v>
      </c>
      <c r="Y28" s="192"/>
      <c r="Z28" s="192"/>
      <c r="AA28" s="193">
        <v>0</v>
      </c>
      <c r="AB28" s="200"/>
      <c r="AC28" s="198"/>
      <c r="AD28" s="198"/>
      <c r="AE28" s="201"/>
      <c r="AF28" s="204">
        <v>-13183</v>
      </c>
      <c r="AG28" s="196">
        <v>-13183</v>
      </c>
      <c r="AH28" s="197">
        <v>-12084</v>
      </c>
      <c r="AI28" s="197">
        <v>0</v>
      </c>
      <c r="AJ28" s="191"/>
      <c r="AK28" s="194">
        <v>0</v>
      </c>
      <c r="AL28" s="192">
        <v>0</v>
      </c>
      <c r="AM28" s="192">
        <v>0</v>
      </c>
      <c r="AN28" s="192">
        <v>0</v>
      </c>
      <c r="AO28" s="192">
        <v>0</v>
      </c>
      <c r="AP28" s="192">
        <v>0</v>
      </c>
      <c r="AQ28" s="192"/>
      <c r="AR28" s="196">
        <v>0</v>
      </c>
      <c r="AS28" s="205">
        <v>9363</v>
      </c>
    </row>
    <row r="29" spans="1:45" x14ac:dyDescent="0.3">
      <c r="A29" s="208" t="s">
        <v>69</v>
      </c>
      <c r="B29" s="241" t="s">
        <v>251</v>
      </c>
      <c r="C29" s="191"/>
      <c r="D29" s="192"/>
      <c r="E29" s="193">
        <v>0</v>
      </c>
      <c r="F29" s="194"/>
      <c r="G29" s="198"/>
      <c r="H29" s="194"/>
      <c r="I29" s="192"/>
      <c r="J29" s="192"/>
      <c r="K29" s="198"/>
      <c r="L29" s="192">
        <v>0</v>
      </c>
      <c r="M29" s="192">
        <v>26156</v>
      </c>
      <c r="N29" s="192"/>
      <c r="O29" s="192"/>
      <c r="P29" s="195">
        <v>26156</v>
      </c>
      <c r="Q29" s="194"/>
      <c r="R29" s="192"/>
      <c r="S29" s="192"/>
      <c r="T29" s="192"/>
      <c r="U29" s="192"/>
      <c r="V29" s="195">
        <v>0</v>
      </c>
      <c r="W29" s="196">
        <v>26156</v>
      </c>
      <c r="X29" s="197">
        <v>187765</v>
      </c>
      <c r="Y29" s="192"/>
      <c r="Z29" s="192"/>
      <c r="AA29" s="193">
        <v>0</v>
      </c>
      <c r="AB29" s="200"/>
      <c r="AC29" s="198"/>
      <c r="AD29" s="198"/>
      <c r="AE29" s="201"/>
      <c r="AF29" s="204">
        <v>-224901</v>
      </c>
      <c r="AG29" s="196">
        <v>-224901</v>
      </c>
      <c r="AH29" s="197">
        <v>-859088</v>
      </c>
      <c r="AI29" s="197">
        <v>0</v>
      </c>
      <c r="AJ29" s="191"/>
      <c r="AK29" s="194">
        <v>143558</v>
      </c>
      <c r="AL29" s="192">
        <v>0</v>
      </c>
      <c r="AM29" s="192">
        <v>1001576</v>
      </c>
      <c r="AN29" s="192">
        <v>0</v>
      </c>
      <c r="AO29" s="192">
        <v>68</v>
      </c>
      <c r="AP29" s="192">
        <v>0</v>
      </c>
      <c r="AQ29" s="192"/>
      <c r="AR29" s="196">
        <v>1145202</v>
      </c>
      <c r="AS29" s="205">
        <v>275134</v>
      </c>
    </row>
    <row r="30" spans="1:45" x14ac:dyDescent="0.3">
      <c r="A30" s="208" t="s">
        <v>70</v>
      </c>
      <c r="B30" s="241" t="s">
        <v>252</v>
      </c>
      <c r="C30" s="191"/>
      <c r="D30" s="192"/>
      <c r="E30" s="193">
        <v>0</v>
      </c>
      <c r="F30" s="194"/>
      <c r="G30" s="198"/>
      <c r="H30" s="194"/>
      <c r="I30" s="192"/>
      <c r="J30" s="192"/>
      <c r="K30" s="198"/>
      <c r="L30" s="192">
        <v>0</v>
      </c>
      <c r="M30" s="192">
        <v>6847</v>
      </c>
      <c r="N30" s="192"/>
      <c r="O30" s="192"/>
      <c r="P30" s="195">
        <v>6847</v>
      </c>
      <c r="Q30" s="194"/>
      <c r="R30" s="192"/>
      <c r="S30" s="192"/>
      <c r="T30" s="192"/>
      <c r="U30" s="192"/>
      <c r="V30" s="195">
        <v>0</v>
      </c>
      <c r="W30" s="196">
        <v>6847</v>
      </c>
      <c r="X30" s="197">
        <v>67717</v>
      </c>
      <c r="Y30" s="192">
        <v>24813</v>
      </c>
      <c r="Z30" s="192"/>
      <c r="AA30" s="193">
        <v>24813</v>
      </c>
      <c r="AB30" s="200"/>
      <c r="AC30" s="198"/>
      <c r="AD30" s="198"/>
      <c r="AE30" s="201"/>
      <c r="AF30" s="204">
        <v>-20889</v>
      </c>
      <c r="AG30" s="196">
        <v>-20889</v>
      </c>
      <c r="AH30" s="197">
        <v>-38741</v>
      </c>
      <c r="AI30" s="197">
        <v>3794</v>
      </c>
      <c r="AJ30" s="191"/>
      <c r="AK30" s="194">
        <v>0</v>
      </c>
      <c r="AL30" s="192">
        <v>0</v>
      </c>
      <c r="AM30" s="192">
        <v>0</v>
      </c>
      <c r="AN30" s="192">
        <v>0</v>
      </c>
      <c r="AO30" s="192">
        <v>0</v>
      </c>
      <c r="AP30" s="192">
        <v>0</v>
      </c>
      <c r="AQ30" s="192"/>
      <c r="AR30" s="196">
        <v>0</v>
      </c>
      <c r="AS30" s="205">
        <v>43541</v>
      </c>
    </row>
    <row r="31" spans="1:45" x14ac:dyDescent="0.3">
      <c r="A31" s="208" t="s">
        <v>71</v>
      </c>
      <c r="B31" s="241" t="s">
        <v>253</v>
      </c>
      <c r="C31" s="191"/>
      <c r="D31" s="192"/>
      <c r="E31" s="193">
        <v>0</v>
      </c>
      <c r="F31" s="194"/>
      <c r="G31" s="198"/>
      <c r="H31" s="194"/>
      <c r="I31" s="192"/>
      <c r="J31" s="192"/>
      <c r="K31" s="198"/>
      <c r="L31" s="192">
        <v>0</v>
      </c>
      <c r="M31" s="192">
        <v>0</v>
      </c>
      <c r="N31" s="192"/>
      <c r="O31" s="192"/>
      <c r="P31" s="195">
        <v>0</v>
      </c>
      <c r="Q31" s="194"/>
      <c r="R31" s="192"/>
      <c r="S31" s="192"/>
      <c r="T31" s="192"/>
      <c r="U31" s="192"/>
      <c r="V31" s="195">
        <v>0</v>
      </c>
      <c r="W31" s="196">
        <v>0</v>
      </c>
      <c r="X31" s="197">
        <v>3070</v>
      </c>
      <c r="Y31" s="192"/>
      <c r="Z31" s="192"/>
      <c r="AA31" s="193">
        <v>0</v>
      </c>
      <c r="AB31" s="200"/>
      <c r="AC31" s="198"/>
      <c r="AD31" s="198"/>
      <c r="AE31" s="201"/>
      <c r="AF31" s="204">
        <v>-681</v>
      </c>
      <c r="AG31" s="196">
        <v>-681</v>
      </c>
      <c r="AH31" s="197">
        <v>-1094</v>
      </c>
      <c r="AI31" s="197">
        <v>0</v>
      </c>
      <c r="AJ31" s="191"/>
      <c r="AK31" s="194">
        <v>0</v>
      </c>
      <c r="AL31" s="192">
        <v>0</v>
      </c>
      <c r="AM31" s="192">
        <v>0</v>
      </c>
      <c r="AN31" s="192">
        <v>0</v>
      </c>
      <c r="AO31" s="192">
        <v>0</v>
      </c>
      <c r="AP31" s="192">
        <v>0</v>
      </c>
      <c r="AQ31" s="192"/>
      <c r="AR31" s="196">
        <v>0</v>
      </c>
      <c r="AS31" s="205">
        <v>1295</v>
      </c>
    </row>
    <row r="32" spans="1:45" x14ac:dyDescent="0.3">
      <c r="A32" s="208" t="s">
        <v>72</v>
      </c>
      <c r="B32" s="241" t="s">
        <v>254</v>
      </c>
      <c r="C32" s="191"/>
      <c r="D32" s="192"/>
      <c r="E32" s="193">
        <v>0</v>
      </c>
      <c r="F32" s="194"/>
      <c r="G32" s="198"/>
      <c r="H32" s="194"/>
      <c r="I32" s="192"/>
      <c r="J32" s="192"/>
      <c r="K32" s="198"/>
      <c r="L32" s="192">
        <v>0</v>
      </c>
      <c r="M32" s="192">
        <v>0</v>
      </c>
      <c r="N32" s="192"/>
      <c r="O32" s="192"/>
      <c r="P32" s="195">
        <v>0</v>
      </c>
      <c r="Q32" s="194"/>
      <c r="R32" s="192"/>
      <c r="S32" s="192"/>
      <c r="T32" s="192"/>
      <c r="U32" s="192"/>
      <c r="V32" s="195">
        <v>0</v>
      </c>
      <c r="W32" s="196">
        <v>0</v>
      </c>
      <c r="X32" s="197">
        <v>0</v>
      </c>
      <c r="Y32" s="192"/>
      <c r="Z32" s="192"/>
      <c r="AA32" s="193">
        <v>0</v>
      </c>
      <c r="AB32" s="200"/>
      <c r="AC32" s="198"/>
      <c r="AD32" s="198"/>
      <c r="AE32" s="201"/>
      <c r="AF32" s="204">
        <v>0</v>
      </c>
      <c r="AG32" s="196">
        <v>0</v>
      </c>
      <c r="AH32" s="197">
        <v>0</v>
      </c>
      <c r="AI32" s="197">
        <v>0</v>
      </c>
      <c r="AJ32" s="191"/>
      <c r="AK32" s="194">
        <v>0</v>
      </c>
      <c r="AL32" s="192">
        <v>0</v>
      </c>
      <c r="AM32" s="192">
        <v>0</v>
      </c>
      <c r="AN32" s="192">
        <v>0</v>
      </c>
      <c r="AO32" s="192">
        <v>0</v>
      </c>
      <c r="AP32" s="192">
        <v>0</v>
      </c>
      <c r="AQ32" s="192"/>
      <c r="AR32" s="196">
        <v>0</v>
      </c>
      <c r="AS32" s="205">
        <v>0</v>
      </c>
    </row>
    <row r="33" spans="1:45" x14ac:dyDescent="0.3">
      <c r="A33" s="208" t="s">
        <v>73</v>
      </c>
      <c r="B33" s="241" t="s">
        <v>255</v>
      </c>
      <c r="C33" s="191"/>
      <c r="D33" s="192"/>
      <c r="E33" s="193">
        <v>0</v>
      </c>
      <c r="F33" s="194"/>
      <c r="G33" s="198"/>
      <c r="H33" s="194"/>
      <c r="I33" s="192"/>
      <c r="J33" s="192"/>
      <c r="K33" s="198"/>
      <c r="L33" s="192">
        <v>0</v>
      </c>
      <c r="M33" s="192">
        <v>0</v>
      </c>
      <c r="N33" s="192"/>
      <c r="O33" s="192"/>
      <c r="P33" s="195">
        <v>0</v>
      </c>
      <c r="Q33" s="194"/>
      <c r="R33" s="192"/>
      <c r="S33" s="192"/>
      <c r="T33" s="192"/>
      <c r="U33" s="192"/>
      <c r="V33" s="195">
        <v>0</v>
      </c>
      <c r="W33" s="196">
        <v>0</v>
      </c>
      <c r="X33" s="197">
        <v>0</v>
      </c>
      <c r="Y33" s="192"/>
      <c r="Z33" s="192"/>
      <c r="AA33" s="193">
        <v>0</v>
      </c>
      <c r="AB33" s="200"/>
      <c r="AC33" s="198"/>
      <c r="AD33" s="198"/>
      <c r="AE33" s="201"/>
      <c r="AF33" s="204">
        <v>0</v>
      </c>
      <c r="AG33" s="196">
        <v>0</v>
      </c>
      <c r="AH33" s="197">
        <v>0</v>
      </c>
      <c r="AI33" s="197">
        <v>0</v>
      </c>
      <c r="AJ33" s="191"/>
      <c r="AK33" s="194">
        <v>0</v>
      </c>
      <c r="AL33" s="192">
        <v>0</v>
      </c>
      <c r="AM33" s="192">
        <v>0</v>
      </c>
      <c r="AN33" s="192">
        <v>0</v>
      </c>
      <c r="AO33" s="192">
        <v>0</v>
      </c>
      <c r="AP33" s="192">
        <v>0</v>
      </c>
      <c r="AQ33" s="192"/>
      <c r="AR33" s="196">
        <v>0</v>
      </c>
      <c r="AS33" s="205">
        <v>0</v>
      </c>
    </row>
    <row r="34" spans="1:45" x14ac:dyDescent="0.3">
      <c r="A34" s="208" t="s">
        <v>74</v>
      </c>
      <c r="B34" s="241" t="s">
        <v>256</v>
      </c>
      <c r="C34" s="191"/>
      <c r="D34" s="192"/>
      <c r="E34" s="193">
        <v>0</v>
      </c>
      <c r="F34" s="194"/>
      <c r="G34" s="198"/>
      <c r="H34" s="194"/>
      <c r="I34" s="192"/>
      <c r="J34" s="192"/>
      <c r="K34" s="198"/>
      <c r="L34" s="192">
        <v>0</v>
      </c>
      <c r="M34" s="192">
        <v>0</v>
      </c>
      <c r="N34" s="192"/>
      <c r="O34" s="192"/>
      <c r="P34" s="195">
        <v>0</v>
      </c>
      <c r="Q34" s="194"/>
      <c r="R34" s="192"/>
      <c r="S34" s="192"/>
      <c r="T34" s="192"/>
      <c r="U34" s="192"/>
      <c r="V34" s="195">
        <v>0</v>
      </c>
      <c r="W34" s="196">
        <v>0</v>
      </c>
      <c r="X34" s="197">
        <v>0</v>
      </c>
      <c r="Y34" s="192"/>
      <c r="Z34" s="192"/>
      <c r="AA34" s="193">
        <v>0</v>
      </c>
      <c r="AB34" s="200"/>
      <c r="AC34" s="198"/>
      <c r="AD34" s="198"/>
      <c r="AE34" s="201"/>
      <c r="AF34" s="204">
        <v>0</v>
      </c>
      <c r="AG34" s="196">
        <v>0</v>
      </c>
      <c r="AH34" s="197">
        <v>0</v>
      </c>
      <c r="AI34" s="197">
        <v>0</v>
      </c>
      <c r="AJ34" s="191"/>
      <c r="AK34" s="194">
        <v>0</v>
      </c>
      <c r="AL34" s="192">
        <v>0</v>
      </c>
      <c r="AM34" s="192">
        <v>0</v>
      </c>
      <c r="AN34" s="192">
        <v>0</v>
      </c>
      <c r="AO34" s="192">
        <v>0</v>
      </c>
      <c r="AP34" s="192">
        <v>0</v>
      </c>
      <c r="AQ34" s="192"/>
      <c r="AR34" s="196">
        <v>0</v>
      </c>
      <c r="AS34" s="205">
        <v>0</v>
      </c>
    </row>
    <row r="35" spans="1:45" x14ac:dyDescent="0.3">
      <c r="A35" s="208" t="s">
        <v>75</v>
      </c>
      <c r="B35" s="241" t="s">
        <v>257</v>
      </c>
      <c r="C35" s="191"/>
      <c r="D35" s="192"/>
      <c r="E35" s="193">
        <v>0</v>
      </c>
      <c r="F35" s="194"/>
      <c r="G35" s="198"/>
      <c r="H35" s="194"/>
      <c r="I35" s="192"/>
      <c r="J35" s="192"/>
      <c r="K35" s="198"/>
      <c r="L35" s="192">
        <v>0</v>
      </c>
      <c r="M35" s="192">
        <v>0</v>
      </c>
      <c r="N35" s="192"/>
      <c r="O35" s="192"/>
      <c r="P35" s="195">
        <v>0</v>
      </c>
      <c r="Q35" s="194"/>
      <c r="R35" s="192"/>
      <c r="S35" s="192"/>
      <c r="T35" s="192"/>
      <c r="U35" s="192"/>
      <c r="V35" s="195">
        <v>0</v>
      </c>
      <c r="W35" s="196">
        <v>0</v>
      </c>
      <c r="X35" s="197">
        <v>0</v>
      </c>
      <c r="Y35" s="192"/>
      <c r="Z35" s="192"/>
      <c r="AA35" s="193">
        <v>0</v>
      </c>
      <c r="AB35" s="200"/>
      <c r="AC35" s="198"/>
      <c r="AD35" s="198"/>
      <c r="AE35" s="201"/>
      <c r="AF35" s="204">
        <v>0</v>
      </c>
      <c r="AG35" s="196">
        <v>0</v>
      </c>
      <c r="AH35" s="197">
        <v>0</v>
      </c>
      <c r="AI35" s="197">
        <v>0</v>
      </c>
      <c r="AJ35" s="191"/>
      <c r="AK35" s="194">
        <v>0</v>
      </c>
      <c r="AL35" s="192">
        <v>0</v>
      </c>
      <c r="AM35" s="192">
        <v>0</v>
      </c>
      <c r="AN35" s="192">
        <v>0</v>
      </c>
      <c r="AO35" s="192">
        <v>0</v>
      </c>
      <c r="AP35" s="192">
        <v>0</v>
      </c>
      <c r="AQ35" s="192"/>
      <c r="AR35" s="196">
        <v>0</v>
      </c>
      <c r="AS35" s="205">
        <v>0</v>
      </c>
    </row>
    <row r="36" spans="1:45" x14ac:dyDescent="0.3">
      <c r="A36" s="208" t="s">
        <v>76</v>
      </c>
      <c r="B36" s="241" t="s">
        <v>258</v>
      </c>
      <c r="C36" s="191"/>
      <c r="D36" s="192"/>
      <c r="E36" s="193">
        <v>0</v>
      </c>
      <c r="F36" s="194"/>
      <c r="G36" s="198"/>
      <c r="H36" s="194"/>
      <c r="I36" s="192"/>
      <c r="J36" s="192"/>
      <c r="K36" s="198"/>
      <c r="L36" s="192">
        <v>0</v>
      </c>
      <c r="M36" s="192">
        <v>0</v>
      </c>
      <c r="N36" s="192"/>
      <c r="O36" s="192"/>
      <c r="P36" s="195">
        <v>0</v>
      </c>
      <c r="Q36" s="194"/>
      <c r="R36" s="192"/>
      <c r="S36" s="192"/>
      <c r="T36" s="192"/>
      <c r="U36" s="192"/>
      <c r="V36" s="195">
        <v>0</v>
      </c>
      <c r="W36" s="196">
        <v>0</v>
      </c>
      <c r="X36" s="197">
        <v>5197</v>
      </c>
      <c r="Y36" s="192"/>
      <c r="Z36" s="192"/>
      <c r="AA36" s="193">
        <v>0</v>
      </c>
      <c r="AB36" s="200"/>
      <c r="AC36" s="198"/>
      <c r="AD36" s="198"/>
      <c r="AE36" s="201"/>
      <c r="AF36" s="204">
        <v>-2156</v>
      </c>
      <c r="AG36" s="196">
        <v>-2156</v>
      </c>
      <c r="AH36" s="197">
        <v>-1285</v>
      </c>
      <c r="AI36" s="197">
        <v>0</v>
      </c>
      <c r="AJ36" s="191"/>
      <c r="AK36" s="194">
        <v>0</v>
      </c>
      <c r="AL36" s="192">
        <v>0</v>
      </c>
      <c r="AM36" s="192">
        <v>0</v>
      </c>
      <c r="AN36" s="192">
        <v>0</v>
      </c>
      <c r="AO36" s="192">
        <v>0</v>
      </c>
      <c r="AP36" s="192">
        <v>0</v>
      </c>
      <c r="AQ36" s="192"/>
      <c r="AR36" s="196">
        <v>0</v>
      </c>
      <c r="AS36" s="205">
        <v>1756</v>
      </c>
    </row>
    <row r="37" spans="1:45" x14ac:dyDescent="0.3">
      <c r="A37" s="208" t="s">
        <v>77</v>
      </c>
      <c r="B37" s="241" t="s">
        <v>259</v>
      </c>
      <c r="C37" s="191"/>
      <c r="D37" s="192"/>
      <c r="E37" s="193">
        <v>0</v>
      </c>
      <c r="F37" s="194"/>
      <c r="G37" s="198"/>
      <c r="H37" s="194"/>
      <c r="I37" s="192"/>
      <c r="J37" s="192"/>
      <c r="K37" s="198"/>
      <c r="L37" s="192">
        <v>0</v>
      </c>
      <c r="M37" s="192">
        <v>0</v>
      </c>
      <c r="N37" s="192"/>
      <c r="O37" s="192"/>
      <c r="P37" s="195">
        <v>0</v>
      </c>
      <c r="Q37" s="194"/>
      <c r="R37" s="192"/>
      <c r="S37" s="192"/>
      <c r="T37" s="192"/>
      <c r="U37" s="192"/>
      <c r="V37" s="195">
        <v>0</v>
      </c>
      <c r="W37" s="196">
        <v>0</v>
      </c>
      <c r="X37" s="197">
        <v>0</v>
      </c>
      <c r="Y37" s="192"/>
      <c r="Z37" s="192"/>
      <c r="AA37" s="193">
        <v>0</v>
      </c>
      <c r="AB37" s="200"/>
      <c r="AC37" s="198"/>
      <c r="AD37" s="198"/>
      <c r="AE37" s="201"/>
      <c r="AF37" s="204">
        <v>-5439</v>
      </c>
      <c r="AG37" s="196">
        <v>-5439</v>
      </c>
      <c r="AH37" s="197">
        <v>-17329</v>
      </c>
      <c r="AI37" s="197">
        <v>0</v>
      </c>
      <c r="AJ37" s="191"/>
      <c r="AK37" s="194">
        <v>40485</v>
      </c>
      <c r="AL37" s="192">
        <v>0</v>
      </c>
      <c r="AM37" s="192">
        <v>0</v>
      </c>
      <c r="AN37" s="192">
        <v>0</v>
      </c>
      <c r="AO37" s="192">
        <v>0</v>
      </c>
      <c r="AP37" s="192">
        <v>0</v>
      </c>
      <c r="AQ37" s="192"/>
      <c r="AR37" s="196">
        <v>40485</v>
      </c>
      <c r="AS37" s="205">
        <v>17717</v>
      </c>
    </row>
    <row r="38" spans="1:45" x14ac:dyDescent="0.3">
      <c r="A38" s="208" t="s">
        <v>78</v>
      </c>
      <c r="B38" s="241" t="s">
        <v>260</v>
      </c>
      <c r="C38" s="191"/>
      <c r="D38" s="192"/>
      <c r="E38" s="193">
        <v>0</v>
      </c>
      <c r="F38" s="194"/>
      <c r="G38" s="198"/>
      <c r="H38" s="194"/>
      <c r="I38" s="192"/>
      <c r="J38" s="192"/>
      <c r="K38" s="198"/>
      <c r="L38" s="192">
        <v>0</v>
      </c>
      <c r="M38" s="192">
        <v>0</v>
      </c>
      <c r="N38" s="192"/>
      <c r="O38" s="192"/>
      <c r="P38" s="195">
        <v>0</v>
      </c>
      <c r="Q38" s="194"/>
      <c r="R38" s="192"/>
      <c r="S38" s="192"/>
      <c r="T38" s="192"/>
      <c r="U38" s="192"/>
      <c r="V38" s="195">
        <v>0</v>
      </c>
      <c r="W38" s="196">
        <v>0</v>
      </c>
      <c r="X38" s="197">
        <v>0</v>
      </c>
      <c r="Y38" s="192"/>
      <c r="Z38" s="192"/>
      <c r="AA38" s="193">
        <v>0</v>
      </c>
      <c r="AB38" s="200"/>
      <c r="AC38" s="198"/>
      <c r="AD38" s="198"/>
      <c r="AE38" s="201"/>
      <c r="AF38" s="204">
        <v>0</v>
      </c>
      <c r="AG38" s="196">
        <v>0</v>
      </c>
      <c r="AH38" s="197">
        <v>0</v>
      </c>
      <c r="AI38" s="197">
        <v>0</v>
      </c>
      <c r="AJ38" s="191"/>
      <c r="AK38" s="194">
        <v>0</v>
      </c>
      <c r="AL38" s="192">
        <v>0</v>
      </c>
      <c r="AM38" s="192">
        <v>0</v>
      </c>
      <c r="AN38" s="192">
        <v>0</v>
      </c>
      <c r="AO38" s="192">
        <v>0</v>
      </c>
      <c r="AP38" s="192">
        <v>0</v>
      </c>
      <c r="AQ38" s="192"/>
      <c r="AR38" s="196">
        <v>0</v>
      </c>
      <c r="AS38" s="205">
        <v>0</v>
      </c>
    </row>
    <row r="39" spans="1:45" x14ac:dyDescent="0.3">
      <c r="A39" s="208" t="s">
        <v>79</v>
      </c>
      <c r="B39" s="241" t="s">
        <v>261</v>
      </c>
      <c r="C39" s="191"/>
      <c r="D39" s="192"/>
      <c r="E39" s="193">
        <v>0</v>
      </c>
      <c r="F39" s="194"/>
      <c r="G39" s="198"/>
      <c r="H39" s="194"/>
      <c r="I39" s="192"/>
      <c r="J39" s="192"/>
      <c r="K39" s="198"/>
      <c r="L39" s="192">
        <v>0</v>
      </c>
      <c r="M39" s="192">
        <v>0</v>
      </c>
      <c r="N39" s="192"/>
      <c r="O39" s="192"/>
      <c r="P39" s="195">
        <v>0</v>
      </c>
      <c r="Q39" s="194"/>
      <c r="R39" s="192"/>
      <c r="S39" s="192"/>
      <c r="T39" s="192"/>
      <c r="U39" s="192"/>
      <c r="V39" s="195">
        <v>0</v>
      </c>
      <c r="W39" s="196">
        <v>0</v>
      </c>
      <c r="X39" s="197">
        <v>0</v>
      </c>
      <c r="Y39" s="192"/>
      <c r="Z39" s="192"/>
      <c r="AA39" s="193">
        <v>0</v>
      </c>
      <c r="AB39" s="200"/>
      <c r="AC39" s="198"/>
      <c r="AD39" s="198"/>
      <c r="AE39" s="201"/>
      <c r="AF39" s="204">
        <v>0</v>
      </c>
      <c r="AG39" s="196">
        <v>0</v>
      </c>
      <c r="AH39" s="197">
        <v>0</v>
      </c>
      <c r="AI39" s="197">
        <v>0</v>
      </c>
      <c r="AJ39" s="191"/>
      <c r="AK39" s="194">
        <v>0</v>
      </c>
      <c r="AL39" s="192">
        <v>0</v>
      </c>
      <c r="AM39" s="192">
        <v>0</v>
      </c>
      <c r="AN39" s="192">
        <v>0</v>
      </c>
      <c r="AO39" s="192">
        <v>0</v>
      </c>
      <c r="AP39" s="192">
        <v>0</v>
      </c>
      <c r="AQ39" s="192"/>
      <c r="AR39" s="196">
        <v>0</v>
      </c>
      <c r="AS39" s="205">
        <v>0</v>
      </c>
    </row>
    <row r="40" spans="1:45" x14ac:dyDescent="0.3">
      <c r="A40" s="208" t="s">
        <v>80</v>
      </c>
      <c r="B40" s="241" t="s">
        <v>262</v>
      </c>
      <c r="C40" s="191"/>
      <c r="D40" s="192"/>
      <c r="E40" s="193">
        <v>0</v>
      </c>
      <c r="F40" s="194"/>
      <c r="G40" s="198"/>
      <c r="H40" s="194"/>
      <c r="I40" s="192"/>
      <c r="J40" s="192"/>
      <c r="K40" s="198"/>
      <c r="L40" s="192">
        <v>0</v>
      </c>
      <c r="M40" s="192">
        <v>0</v>
      </c>
      <c r="N40" s="192"/>
      <c r="O40" s="192"/>
      <c r="P40" s="195">
        <v>0</v>
      </c>
      <c r="Q40" s="194"/>
      <c r="R40" s="192"/>
      <c r="S40" s="192"/>
      <c r="T40" s="192"/>
      <c r="U40" s="192"/>
      <c r="V40" s="195">
        <v>0</v>
      </c>
      <c r="W40" s="196">
        <v>0</v>
      </c>
      <c r="X40" s="197">
        <v>0</v>
      </c>
      <c r="Y40" s="192"/>
      <c r="Z40" s="192"/>
      <c r="AA40" s="193">
        <v>0</v>
      </c>
      <c r="AB40" s="200"/>
      <c r="AC40" s="198"/>
      <c r="AD40" s="198"/>
      <c r="AE40" s="201"/>
      <c r="AF40" s="204">
        <v>-801</v>
      </c>
      <c r="AG40" s="196">
        <v>-801</v>
      </c>
      <c r="AH40" s="197">
        <v>-26</v>
      </c>
      <c r="AI40" s="197">
        <v>0</v>
      </c>
      <c r="AJ40" s="191"/>
      <c r="AK40" s="194">
        <v>0</v>
      </c>
      <c r="AL40" s="192">
        <v>0</v>
      </c>
      <c r="AM40" s="192">
        <v>0</v>
      </c>
      <c r="AN40" s="192">
        <v>0</v>
      </c>
      <c r="AO40" s="192">
        <v>2327</v>
      </c>
      <c r="AP40" s="192">
        <v>0</v>
      </c>
      <c r="AQ40" s="192"/>
      <c r="AR40" s="196">
        <v>2327</v>
      </c>
      <c r="AS40" s="205">
        <v>1500</v>
      </c>
    </row>
    <row r="41" spans="1:45" x14ac:dyDescent="0.3">
      <c r="A41" s="208" t="s">
        <v>81</v>
      </c>
      <c r="B41" s="241" t="s">
        <v>263</v>
      </c>
      <c r="C41" s="191"/>
      <c r="D41" s="192"/>
      <c r="E41" s="193">
        <v>0</v>
      </c>
      <c r="F41" s="194"/>
      <c r="G41" s="198"/>
      <c r="H41" s="194"/>
      <c r="I41" s="192"/>
      <c r="J41" s="192"/>
      <c r="K41" s="198"/>
      <c r="L41" s="192">
        <v>0</v>
      </c>
      <c r="M41" s="192">
        <v>0</v>
      </c>
      <c r="N41" s="192"/>
      <c r="O41" s="192"/>
      <c r="P41" s="195">
        <v>0</v>
      </c>
      <c r="Q41" s="194"/>
      <c r="R41" s="192"/>
      <c r="S41" s="192"/>
      <c r="T41" s="192"/>
      <c r="U41" s="192"/>
      <c r="V41" s="195">
        <v>0</v>
      </c>
      <c r="W41" s="196">
        <v>0</v>
      </c>
      <c r="X41" s="197">
        <v>3772</v>
      </c>
      <c r="Y41" s="192"/>
      <c r="Z41" s="192"/>
      <c r="AA41" s="193">
        <v>0</v>
      </c>
      <c r="AB41" s="200"/>
      <c r="AC41" s="198"/>
      <c r="AD41" s="198"/>
      <c r="AE41" s="201"/>
      <c r="AF41" s="204">
        <v>-1049</v>
      </c>
      <c r="AG41" s="196">
        <v>-1049</v>
      </c>
      <c r="AH41" s="197">
        <v>-2371</v>
      </c>
      <c r="AI41" s="197">
        <v>0</v>
      </c>
      <c r="AJ41" s="191"/>
      <c r="AK41" s="194">
        <v>0</v>
      </c>
      <c r="AL41" s="192">
        <v>0</v>
      </c>
      <c r="AM41" s="192">
        <v>0</v>
      </c>
      <c r="AN41" s="192">
        <v>0</v>
      </c>
      <c r="AO41" s="192">
        <v>0</v>
      </c>
      <c r="AP41" s="192">
        <v>0</v>
      </c>
      <c r="AQ41" s="192"/>
      <c r="AR41" s="196">
        <v>0</v>
      </c>
      <c r="AS41" s="205">
        <v>352</v>
      </c>
    </row>
    <row r="42" spans="1:45" x14ac:dyDescent="0.3">
      <c r="A42" s="208" t="s">
        <v>82</v>
      </c>
      <c r="B42" s="241" t="s">
        <v>264</v>
      </c>
      <c r="C42" s="191"/>
      <c r="D42" s="192"/>
      <c r="E42" s="193">
        <v>0</v>
      </c>
      <c r="F42" s="194"/>
      <c r="G42" s="198"/>
      <c r="H42" s="194"/>
      <c r="I42" s="192"/>
      <c r="J42" s="192"/>
      <c r="K42" s="198"/>
      <c r="L42" s="192">
        <v>0</v>
      </c>
      <c r="M42" s="192">
        <v>0</v>
      </c>
      <c r="N42" s="192"/>
      <c r="O42" s="192"/>
      <c r="P42" s="195">
        <v>0</v>
      </c>
      <c r="Q42" s="194"/>
      <c r="R42" s="192"/>
      <c r="S42" s="192"/>
      <c r="T42" s="192"/>
      <c r="U42" s="192"/>
      <c r="V42" s="195">
        <v>0</v>
      </c>
      <c r="W42" s="196">
        <v>0</v>
      </c>
      <c r="X42" s="197">
        <v>36178</v>
      </c>
      <c r="Y42" s="192"/>
      <c r="Z42" s="192"/>
      <c r="AA42" s="193">
        <v>0</v>
      </c>
      <c r="AB42" s="200"/>
      <c r="AC42" s="198"/>
      <c r="AD42" s="198"/>
      <c r="AE42" s="201"/>
      <c r="AF42" s="204">
        <v>-15930</v>
      </c>
      <c r="AG42" s="196">
        <v>-15930</v>
      </c>
      <c r="AH42" s="197">
        <v>-13213</v>
      </c>
      <c r="AI42" s="197">
        <v>0</v>
      </c>
      <c r="AJ42" s="191"/>
      <c r="AK42" s="194">
        <v>0</v>
      </c>
      <c r="AL42" s="192">
        <v>0</v>
      </c>
      <c r="AM42" s="192">
        <v>0</v>
      </c>
      <c r="AN42" s="192">
        <v>0</v>
      </c>
      <c r="AO42" s="192">
        <v>3163</v>
      </c>
      <c r="AP42" s="192">
        <v>0</v>
      </c>
      <c r="AQ42" s="192"/>
      <c r="AR42" s="196">
        <v>3163</v>
      </c>
      <c r="AS42" s="205">
        <v>10198</v>
      </c>
    </row>
    <row r="43" spans="1:45" x14ac:dyDescent="0.3">
      <c r="A43" s="81" t="s">
        <v>83</v>
      </c>
      <c r="B43" s="243" t="s">
        <v>265</v>
      </c>
      <c r="C43" s="82">
        <v>0</v>
      </c>
      <c r="D43" s="83">
        <v>0</v>
      </c>
      <c r="E43" s="84">
        <v>0</v>
      </c>
      <c r="F43" s="85">
        <v>0</v>
      </c>
      <c r="G43" s="83">
        <v>484372</v>
      </c>
      <c r="H43" s="83">
        <v>225</v>
      </c>
      <c r="I43" s="83">
        <v>0</v>
      </c>
      <c r="J43" s="83">
        <v>0</v>
      </c>
      <c r="K43" s="83">
        <v>0</v>
      </c>
      <c r="L43" s="83">
        <v>93</v>
      </c>
      <c r="M43" s="83">
        <v>114137</v>
      </c>
      <c r="N43" s="83">
        <v>120</v>
      </c>
      <c r="O43" s="83">
        <v>0</v>
      </c>
      <c r="P43" s="86">
        <v>598947</v>
      </c>
      <c r="Q43" s="85">
        <v>0</v>
      </c>
      <c r="R43" s="83">
        <v>0</v>
      </c>
      <c r="S43" s="83">
        <v>0</v>
      </c>
      <c r="T43" s="83">
        <v>0</v>
      </c>
      <c r="U43" s="83">
        <v>0</v>
      </c>
      <c r="V43" s="86">
        <v>0</v>
      </c>
      <c r="W43" s="87">
        <v>598947</v>
      </c>
      <c r="X43" s="88">
        <v>75075</v>
      </c>
      <c r="Y43" s="83"/>
      <c r="Z43" s="83">
        <v>0</v>
      </c>
      <c r="AA43" s="89">
        <v>0</v>
      </c>
      <c r="AB43" s="93">
        <v>0</v>
      </c>
      <c r="AC43" s="94">
        <v>0</v>
      </c>
      <c r="AD43" s="94"/>
      <c r="AE43" s="95"/>
      <c r="AF43" s="95">
        <v>0</v>
      </c>
      <c r="AG43" s="87">
        <v>837271</v>
      </c>
      <c r="AH43" s="88">
        <v>126251</v>
      </c>
      <c r="AI43" s="91">
        <v>0</v>
      </c>
      <c r="AJ43" s="82"/>
      <c r="AK43" s="85">
        <v>0</v>
      </c>
      <c r="AL43" s="83">
        <v>0</v>
      </c>
      <c r="AM43" s="83">
        <v>0</v>
      </c>
      <c r="AN43" s="83">
        <v>0</v>
      </c>
      <c r="AO43" s="83">
        <v>0</v>
      </c>
      <c r="AP43" s="83">
        <v>0</v>
      </c>
      <c r="AQ43" s="83">
        <v>0</v>
      </c>
      <c r="AR43" s="87">
        <v>0</v>
      </c>
      <c r="AS43" s="92">
        <v>1637544</v>
      </c>
    </row>
    <row r="44" spans="1:45" x14ac:dyDescent="0.3">
      <c r="A44" s="190" t="s">
        <v>84</v>
      </c>
      <c r="B44" s="241" t="s">
        <v>266</v>
      </c>
      <c r="C44" s="203"/>
      <c r="D44" s="198"/>
      <c r="E44" s="199"/>
      <c r="F44" s="194"/>
      <c r="G44" s="192">
        <v>419739</v>
      </c>
      <c r="H44" s="192">
        <v>0</v>
      </c>
      <c r="I44" s="192">
        <v>0</v>
      </c>
      <c r="J44" s="192"/>
      <c r="K44" s="192">
        <v>0</v>
      </c>
      <c r="L44" s="192">
        <v>93</v>
      </c>
      <c r="M44" s="192">
        <v>113335</v>
      </c>
      <c r="N44" s="192">
        <v>0</v>
      </c>
      <c r="O44" s="192">
        <v>0</v>
      </c>
      <c r="P44" s="195">
        <v>533167</v>
      </c>
      <c r="Q44" s="192">
        <v>0</v>
      </c>
      <c r="R44" s="192">
        <v>0</v>
      </c>
      <c r="S44" s="192">
        <v>0</v>
      </c>
      <c r="T44" s="192">
        <v>0</v>
      </c>
      <c r="U44" s="192">
        <v>0</v>
      </c>
      <c r="V44" s="195">
        <v>0</v>
      </c>
      <c r="W44" s="196">
        <v>533167</v>
      </c>
      <c r="X44" s="197">
        <v>69604</v>
      </c>
      <c r="Y44" s="192"/>
      <c r="Z44" s="192"/>
      <c r="AA44" s="193">
        <v>0</v>
      </c>
      <c r="AB44" s="200"/>
      <c r="AC44" s="198"/>
      <c r="AD44" s="198"/>
      <c r="AE44" s="201"/>
      <c r="AF44" s="201"/>
      <c r="AG44" s="196">
        <v>45098</v>
      </c>
      <c r="AH44" s="197">
        <v>126251</v>
      </c>
      <c r="AI44" s="197"/>
      <c r="AJ44" s="191"/>
      <c r="AK44" s="194"/>
      <c r="AL44" s="192"/>
      <c r="AM44" s="192"/>
      <c r="AN44" s="192"/>
      <c r="AO44" s="192"/>
      <c r="AP44" s="192">
        <v>0</v>
      </c>
      <c r="AQ44" s="192"/>
      <c r="AR44" s="196">
        <v>0</v>
      </c>
      <c r="AS44" s="205">
        <v>774120</v>
      </c>
    </row>
    <row r="45" spans="1:45" x14ac:dyDescent="0.3">
      <c r="A45" s="190" t="s">
        <v>85</v>
      </c>
      <c r="B45" s="241" t="s">
        <v>267</v>
      </c>
      <c r="C45" s="203"/>
      <c r="D45" s="198"/>
      <c r="E45" s="199"/>
      <c r="F45" s="194">
        <v>0</v>
      </c>
      <c r="G45" s="192">
        <v>64633</v>
      </c>
      <c r="H45" s="192">
        <v>225</v>
      </c>
      <c r="I45" s="192">
        <v>0</v>
      </c>
      <c r="J45" s="192">
        <v>0</v>
      </c>
      <c r="K45" s="192">
        <v>0</v>
      </c>
      <c r="L45" s="192">
        <v>0</v>
      </c>
      <c r="M45" s="192">
        <v>802</v>
      </c>
      <c r="N45" s="192">
        <v>120</v>
      </c>
      <c r="O45" s="192">
        <v>0</v>
      </c>
      <c r="P45" s="195">
        <v>65780</v>
      </c>
      <c r="Q45" s="194">
        <v>0</v>
      </c>
      <c r="R45" s="192">
        <v>0</v>
      </c>
      <c r="S45" s="192">
        <v>0</v>
      </c>
      <c r="T45" s="192">
        <v>0</v>
      </c>
      <c r="U45" s="192"/>
      <c r="V45" s="195">
        <v>0</v>
      </c>
      <c r="W45" s="196">
        <v>65780</v>
      </c>
      <c r="X45" s="197">
        <v>0</v>
      </c>
      <c r="Y45" s="192"/>
      <c r="Z45" s="192"/>
      <c r="AA45" s="193">
        <v>0</v>
      </c>
      <c r="AB45" s="200"/>
      <c r="AC45" s="198"/>
      <c r="AD45" s="198"/>
      <c r="AE45" s="201"/>
      <c r="AF45" s="201"/>
      <c r="AG45" s="206">
        <v>0</v>
      </c>
      <c r="AH45" s="197"/>
      <c r="AI45" s="197"/>
      <c r="AJ45" s="191"/>
      <c r="AK45" s="194"/>
      <c r="AL45" s="192"/>
      <c r="AM45" s="192"/>
      <c r="AN45" s="192"/>
      <c r="AO45" s="192"/>
      <c r="AP45" s="192">
        <v>0</v>
      </c>
      <c r="AQ45" s="192"/>
      <c r="AR45" s="196">
        <v>0</v>
      </c>
      <c r="AS45" s="205">
        <v>65780</v>
      </c>
    </row>
    <row r="46" spans="1:45" x14ac:dyDescent="0.3">
      <c r="A46" s="190" t="s">
        <v>86</v>
      </c>
      <c r="B46" s="241" t="s">
        <v>268</v>
      </c>
      <c r="C46" s="191"/>
      <c r="D46" s="192"/>
      <c r="E46" s="193"/>
      <c r="F46" s="194"/>
      <c r="G46" s="192"/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92">
        <v>0</v>
      </c>
      <c r="P46" s="195">
        <v>0</v>
      </c>
      <c r="Q46" s="194">
        <v>0</v>
      </c>
      <c r="R46" s="192">
        <v>0</v>
      </c>
      <c r="S46" s="192">
        <v>0</v>
      </c>
      <c r="T46" s="192">
        <v>0</v>
      </c>
      <c r="U46" s="192"/>
      <c r="V46" s="195">
        <v>0</v>
      </c>
      <c r="W46" s="196">
        <v>0</v>
      </c>
      <c r="X46" s="197">
        <v>0</v>
      </c>
      <c r="Y46" s="192"/>
      <c r="Z46" s="192"/>
      <c r="AA46" s="193">
        <v>0</v>
      </c>
      <c r="AB46" s="200"/>
      <c r="AC46" s="198"/>
      <c r="AD46" s="198"/>
      <c r="AE46" s="201"/>
      <c r="AF46" s="201"/>
      <c r="AG46" s="196">
        <v>3</v>
      </c>
      <c r="AH46" s="197"/>
      <c r="AI46" s="197"/>
      <c r="AJ46" s="191"/>
      <c r="AK46" s="194"/>
      <c r="AL46" s="192"/>
      <c r="AM46" s="192"/>
      <c r="AN46" s="192"/>
      <c r="AO46" s="192"/>
      <c r="AP46" s="192">
        <v>0</v>
      </c>
      <c r="AQ46" s="192"/>
      <c r="AR46" s="196">
        <v>0</v>
      </c>
      <c r="AS46" s="205">
        <v>3</v>
      </c>
    </row>
    <row r="47" spans="1:45" x14ac:dyDescent="0.3">
      <c r="A47" s="190" t="s">
        <v>87</v>
      </c>
      <c r="B47" s="241" t="s">
        <v>269</v>
      </c>
      <c r="C47" s="191"/>
      <c r="D47" s="192"/>
      <c r="E47" s="193"/>
      <c r="F47" s="194"/>
      <c r="G47" s="192"/>
      <c r="H47" s="192">
        <v>0</v>
      </c>
      <c r="I47" s="192">
        <v>0</v>
      </c>
      <c r="J47" s="192">
        <v>0</v>
      </c>
      <c r="K47" s="192">
        <v>0</v>
      </c>
      <c r="L47" s="192">
        <v>0</v>
      </c>
      <c r="M47" s="192">
        <v>0</v>
      </c>
      <c r="N47" s="192">
        <v>0</v>
      </c>
      <c r="O47" s="192">
        <v>0</v>
      </c>
      <c r="P47" s="195">
        <v>0</v>
      </c>
      <c r="Q47" s="194">
        <v>0</v>
      </c>
      <c r="R47" s="192">
        <v>0</v>
      </c>
      <c r="S47" s="192">
        <v>0</v>
      </c>
      <c r="T47" s="192">
        <v>0</v>
      </c>
      <c r="U47" s="192"/>
      <c r="V47" s="195">
        <v>0</v>
      </c>
      <c r="W47" s="196">
        <v>0</v>
      </c>
      <c r="X47" s="197">
        <v>0</v>
      </c>
      <c r="Y47" s="192"/>
      <c r="Z47" s="192"/>
      <c r="AA47" s="193">
        <v>0</v>
      </c>
      <c r="AB47" s="200"/>
      <c r="AC47" s="198"/>
      <c r="AD47" s="198"/>
      <c r="AE47" s="201"/>
      <c r="AF47" s="201"/>
      <c r="AG47" s="196">
        <v>54004</v>
      </c>
      <c r="AH47" s="197"/>
      <c r="AI47" s="197"/>
      <c r="AJ47" s="191"/>
      <c r="AK47" s="194"/>
      <c r="AL47" s="192"/>
      <c r="AM47" s="192"/>
      <c r="AN47" s="192"/>
      <c r="AO47" s="192"/>
      <c r="AP47" s="192">
        <v>0</v>
      </c>
      <c r="AQ47" s="192"/>
      <c r="AR47" s="196">
        <v>0</v>
      </c>
      <c r="AS47" s="205">
        <v>54004</v>
      </c>
    </row>
    <row r="48" spans="1:45" x14ac:dyDescent="0.3">
      <c r="A48" s="190" t="s">
        <v>88</v>
      </c>
      <c r="B48" s="241" t="s">
        <v>270</v>
      </c>
      <c r="C48" s="203"/>
      <c r="D48" s="198"/>
      <c r="E48" s="199"/>
      <c r="F48" s="200"/>
      <c r="G48" s="198"/>
      <c r="H48" s="198"/>
      <c r="I48" s="198"/>
      <c r="J48" s="198"/>
      <c r="K48" s="198"/>
      <c r="L48" s="198">
        <v>0</v>
      </c>
      <c r="M48" s="198"/>
      <c r="N48" s="198"/>
      <c r="O48" s="198"/>
      <c r="P48" s="207">
        <v>0</v>
      </c>
      <c r="Q48" s="200">
        <v>0</v>
      </c>
      <c r="R48" s="198">
        <v>0</v>
      </c>
      <c r="S48" s="198">
        <v>0</v>
      </c>
      <c r="T48" s="198">
        <v>0</v>
      </c>
      <c r="U48" s="198"/>
      <c r="V48" s="207">
        <v>0</v>
      </c>
      <c r="W48" s="206">
        <v>0</v>
      </c>
      <c r="X48" s="202">
        <v>0</v>
      </c>
      <c r="Y48" s="198"/>
      <c r="Z48" s="198"/>
      <c r="AA48" s="199">
        <v>0</v>
      </c>
      <c r="AB48" s="200"/>
      <c r="AC48" s="198"/>
      <c r="AD48" s="198"/>
      <c r="AE48" s="201"/>
      <c r="AF48" s="201"/>
      <c r="AG48" s="196">
        <v>311900</v>
      </c>
      <c r="AH48" s="202"/>
      <c r="AI48" s="202"/>
      <c r="AJ48" s="203"/>
      <c r="AK48" s="200"/>
      <c r="AL48" s="198"/>
      <c r="AM48" s="198"/>
      <c r="AN48" s="198"/>
      <c r="AO48" s="198"/>
      <c r="AP48" s="198">
        <v>0</v>
      </c>
      <c r="AQ48" s="198"/>
      <c r="AR48" s="206">
        <v>0</v>
      </c>
      <c r="AS48" s="205">
        <v>311900</v>
      </c>
    </row>
    <row r="49" spans="1:45" x14ac:dyDescent="0.3">
      <c r="A49" s="190" t="s">
        <v>89</v>
      </c>
      <c r="B49" s="241" t="s">
        <v>271</v>
      </c>
      <c r="C49" s="191"/>
      <c r="D49" s="192"/>
      <c r="E49" s="193"/>
      <c r="F49" s="194"/>
      <c r="G49" s="192"/>
      <c r="H49" s="192">
        <v>0</v>
      </c>
      <c r="I49" s="192">
        <v>0</v>
      </c>
      <c r="J49" s="192">
        <v>0</v>
      </c>
      <c r="K49" s="198">
        <v>0</v>
      </c>
      <c r="L49" s="192">
        <v>0</v>
      </c>
      <c r="M49" s="192">
        <v>0</v>
      </c>
      <c r="N49" s="192">
        <v>0</v>
      </c>
      <c r="O49" s="192">
        <v>0</v>
      </c>
      <c r="P49" s="195">
        <v>0</v>
      </c>
      <c r="Q49" s="194">
        <v>0</v>
      </c>
      <c r="R49" s="192">
        <v>0</v>
      </c>
      <c r="S49" s="192">
        <v>0</v>
      </c>
      <c r="T49" s="192">
        <v>0</v>
      </c>
      <c r="U49" s="192"/>
      <c r="V49" s="195">
        <v>0</v>
      </c>
      <c r="W49" s="196">
        <v>0</v>
      </c>
      <c r="X49" s="197">
        <v>0</v>
      </c>
      <c r="Y49" s="192"/>
      <c r="Z49" s="192"/>
      <c r="AA49" s="193">
        <v>0</v>
      </c>
      <c r="AB49" s="200"/>
      <c r="AC49" s="198"/>
      <c r="AD49" s="198"/>
      <c r="AE49" s="201"/>
      <c r="AF49" s="201"/>
      <c r="AG49" s="196">
        <v>0</v>
      </c>
      <c r="AH49" s="197"/>
      <c r="AI49" s="197"/>
      <c r="AJ49" s="191"/>
      <c r="AK49" s="194"/>
      <c r="AL49" s="192"/>
      <c r="AM49" s="192"/>
      <c r="AN49" s="192"/>
      <c r="AO49" s="192"/>
      <c r="AP49" s="192">
        <v>0</v>
      </c>
      <c r="AQ49" s="192"/>
      <c r="AR49" s="196">
        <v>0</v>
      </c>
      <c r="AS49" s="205">
        <v>0</v>
      </c>
    </row>
    <row r="50" spans="1:45" x14ac:dyDescent="0.3">
      <c r="A50" s="209" t="s">
        <v>90</v>
      </c>
      <c r="B50" s="244" t="s">
        <v>272</v>
      </c>
      <c r="C50" s="210"/>
      <c r="D50" s="211"/>
      <c r="E50" s="212"/>
      <c r="F50" s="213"/>
      <c r="G50" s="211"/>
      <c r="H50" s="211">
        <v>0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211">
        <v>0</v>
      </c>
      <c r="O50" s="211">
        <v>0</v>
      </c>
      <c r="P50" s="214">
        <v>0</v>
      </c>
      <c r="Q50" s="211">
        <v>0</v>
      </c>
      <c r="R50" s="211">
        <v>0</v>
      </c>
      <c r="S50" s="211">
        <v>0</v>
      </c>
      <c r="T50" s="211">
        <v>0</v>
      </c>
      <c r="U50" s="211"/>
      <c r="V50" s="214">
        <v>0</v>
      </c>
      <c r="W50" s="215">
        <v>0</v>
      </c>
      <c r="X50" s="216">
        <v>5471</v>
      </c>
      <c r="Y50" s="211"/>
      <c r="Z50" s="211"/>
      <c r="AA50" s="212">
        <v>0</v>
      </c>
      <c r="AB50" s="217"/>
      <c r="AC50" s="218"/>
      <c r="AD50" s="218"/>
      <c r="AE50" s="219"/>
      <c r="AF50" s="219"/>
      <c r="AG50" s="215">
        <v>426266</v>
      </c>
      <c r="AH50" s="216"/>
      <c r="AI50" s="216"/>
      <c r="AJ50" s="210"/>
      <c r="AK50" s="213"/>
      <c r="AL50" s="211"/>
      <c r="AM50" s="211"/>
      <c r="AN50" s="211"/>
      <c r="AO50" s="211"/>
      <c r="AP50" s="211">
        <v>0</v>
      </c>
      <c r="AQ50" s="211"/>
      <c r="AR50" s="215">
        <v>0</v>
      </c>
      <c r="AS50" s="220">
        <v>431737</v>
      </c>
    </row>
    <row r="51" spans="1:45" x14ac:dyDescent="0.3">
      <c r="A51" s="221" t="s">
        <v>91</v>
      </c>
      <c r="B51" s="242" t="s">
        <v>273</v>
      </c>
      <c r="C51" s="210"/>
      <c r="D51" s="211"/>
      <c r="E51" s="212"/>
      <c r="F51" s="213"/>
      <c r="G51" s="211"/>
      <c r="H51" s="192">
        <v>74694</v>
      </c>
      <c r="I51" s="192"/>
      <c r="J51" s="192"/>
      <c r="K51" s="192"/>
      <c r="L51" s="192"/>
      <c r="M51" s="192">
        <v>0</v>
      </c>
      <c r="N51" s="192">
        <v>143528</v>
      </c>
      <c r="O51" s="192"/>
      <c r="P51" s="195">
        <v>218222</v>
      </c>
      <c r="Q51" s="194"/>
      <c r="R51" s="192"/>
      <c r="S51" s="192"/>
      <c r="T51" s="192"/>
      <c r="U51" s="211"/>
      <c r="V51" s="195">
        <v>0</v>
      </c>
      <c r="W51" s="196">
        <v>218222</v>
      </c>
      <c r="X51" s="216">
        <v>55083</v>
      </c>
      <c r="Y51" s="211"/>
      <c r="Z51" s="211"/>
      <c r="AA51" s="212">
        <v>0</v>
      </c>
      <c r="AB51" s="217"/>
      <c r="AC51" s="218"/>
      <c r="AD51" s="218"/>
      <c r="AE51" s="219"/>
      <c r="AF51" s="219"/>
      <c r="AG51" s="215"/>
      <c r="AH51" s="216"/>
      <c r="AI51" s="216"/>
      <c r="AJ51" s="210"/>
      <c r="AK51" s="213"/>
      <c r="AL51" s="211"/>
      <c r="AM51" s="211"/>
      <c r="AN51" s="211"/>
      <c r="AO51" s="211"/>
      <c r="AP51" s="211">
        <v>0</v>
      </c>
      <c r="AQ51" s="211"/>
      <c r="AR51" s="215">
        <v>0</v>
      </c>
      <c r="AS51" s="220">
        <v>273305</v>
      </c>
    </row>
    <row r="52" spans="1:45" x14ac:dyDescent="0.3">
      <c r="A52" s="68" t="s">
        <v>92</v>
      </c>
      <c r="B52" s="242" t="s">
        <v>274</v>
      </c>
      <c r="C52" s="69">
        <v>1169</v>
      </c>
      <c r="D52" s="70">
        <v>3594</v>
      </c>
      <c r="E52" s="71">
        <v>4763</v>
      </c>
      <c r="F52" s="72"/>
      <c r="G52" s="70">
        <v>-1</v>
      </c>
      <c r="H52" s="70">
        <v>486629</v>
      </c>
      <c r="I52" s="70">
        <v>1213060</v>
      </c>
      <c r="J52" s="70">
        <v>312</v>
      </c>
      <c r="K52" s="70">
        <v>178728</v>
      </c>
      <c r="L52" s="70">
        <v>5242590</v>
      </c>
      <c r="M52" s="70">
        <v>161803</v>
      </c>
      <c r="N52" s="70">
        <v>-50</v>
      </c>
      <c r="O52" s="70">
        <v>250142</v>
      </c>
      <c r="P52" s="73">
        <v>7533213</v>
      </c>
      <c r="Q52" s="72">
        <v>44816</v>
      </c>
      <c r="R52" s="70">
        <v>164617</v>
      </c>
      <c r="S52" s="70">
        <v>1637</v>
      </c>
      <c r="T52" s="70">
        <v>5040</v>
      </c>
      <c r="U52" s="70">
        <v>9840</v>
      </c>
      <c r="V52" s="73">
        <v>225950</v>
      </c>
      <c r="W52" s="74">
        <v>7759163</v>
      </c>
      <c r="X52" s="75">
        <v>1629419</v>
      </c>
      <c r="Y52" s="70">
        <v>0</v>
      </c>
      <c r="Z52" s="70">
        <v>0</v>
      </c>
      <c r="AA52" s="76">
        <v>0</v>
      </c>
      <c r="AB52" s="217"/>
      <c r="AC52" s="218"/>
      <c r="AD52" s="218"/>
      <c r="AE52" s="219"/>
      <c r="AF52" s="219"/>
      <c r="AG52" s="96">
        <v>4260555</v>
      </c>
      <c r="AH52" s="75">
        <v>978692</v>
      </c>
      <c r="AI52" s="79">
        <v>86597</v>
      </c>
      <c r="AJ52" s="72">
        <v>114881</v>
      </c>
      <c r="AK52" s="72">
        <v>1095967</v>
      </c>
      <c r="AL52" s="97">
        <v>0</v>
      </c>
      <c r="AM52" s="97">
        <v>0</v>
      </c>
      <c r="AN52" s="70">
        <v>37443</v>
      </c>
      <c r="AO52" s="70">
        <v>22599</v>
      </c>
      <c r="AP52" s="70">
        <v>935</v>
      </c>
      <c r="AQ52" s="70">
        <v>875295</v>
      </c>
      <c r="AR52" s="74">
        <v>2147120</v>
      </c>
      <c r="AS52" s="80">
        <v>16866309</v>
      </c>
    </row>
    <row r="53" spans="1:45" x14ac:dyDescent="0.3">
      <c r="A53" s="98" t="s">
        <v>93</v>
      </c>
      <c r="B53" s="245"/>
      <c r="C53" s="69">
        <v>-134</v>
      </c>
      <c r="D53" s="70">
        <v>-129</v>
      </c>
      <c r="E53" s="76">
        <v>-263</v>
      </c>
      <c r="F53" s="72"/>
      <c r="G53" s="70">
        <v>-1</v>
      </c>
      <c r="H53" s="70">
        <v>7105</v>
      </c>
      <c r="I53" s="70">
        <v>-27610</v>
      </c>
      <c r="J53" s="70">
        <v>-23</v>
      </c>
      <c r="K53" s="70">
        <v>-7540</v>
      </c>
      <c r="L53" s="70">
        <v>27643</v>
      </c>
      <c r="M53" s="70">
        <v>11310</v>
      </c>
      <c r="N53" s="70">
        <v>0</v>
      </c>
      <c r="O53" s="70">
        <v>464</v>
      </c>
      <c r="P53" s="99">
        <v>11348</v>
      </c>
      <c r="Q53" s="72">
        <v>215</v>
      </c>
      <c r="R53" s="70">
        <v>-1347</v>
      </c>
      <c r="S53" s="70">
        <v>2</v>
      </c>
      <c r="T53" s="70">
        <v>572</v>
      </c>
      <c r="U53" s="70">
        <v>396</v>
      </c>
      <c r="V53" s="99">
        <v>-163</v>
      </c>
      <c r="W53" s="101">
        <v>11185</v>
      </c>
      <c r="X53" s="79">
        <v>18245</v>
      </c>
      <c r="Y53" s="70">
        <v>0</v>
      </c>
      <c r="Z53" s="70">
        <v>0</v>
      </c>
      <c r="AA53" s="76">
        <v>0</v>
      </c>
      <c r="AB53" s="100"/>
      <c r="AC53" s="97"/>
      <c r="AD53" s="97"/>
      <c r="AE53" s="77"/>
      <c r="AF53" s="77"/>
      <c r="AG53" s="101">
        <v>22</v>
      </c>
      <c r="AH53" s="79">
        <v>0</v>
      </c>
      <c r="AI53" s="79">
        <v>0</v>
      </c>
      <c r="AJ53" s="72">
        <v>0</v>
      </c>
      <c r="AK53" s="72">
        <v>0</v>
      </c>
      <c r="AL53" s="97">
        <v>0</v>
      </c>
      <c r="AM53" s="97">
        <v>0</v>
      </c>
      <c r="AN53" s="70">
        <v>0</v>
      </c>
      <c r="AO53" s="70">
        <v>0</v>
      </c>
      <c r="AP53" s="70">
        <v>23</v>
      </c>
      <c r="AQ53" s="70">
        <v>0</v>
      </c>
      <c r="AR53" s="101">
        <v>23</v>
      </c>
      <c r="AS53" s="102">
        <v>29212</v>
      </c>
    </row>
    <row r="54" spans="1:45" x14ac:dyDescent="0.3">
      <c r="A54" s="68" t="s">
        <v>94</v>
      </c>
      <c r="B54" s="242" t="s">
        <v>275</v>
      </c>
      <c r="C54" s="69">
        <v>1303</v>
      </c>
      <c r="D54" s="70">
        <v>3723</v>
      </c>
      <c r="E54" s="71">
        <v>5026</v>
      </c>
      <c r="F54" s="100">
        <v>0</v>
      </c>
      <c r="G54" s="97">
        <v>0</v>
      </c>
      <c r="H54" s="70">
        <v>479524</v>
      </c>
      <c r="I54" s="70">
        <v>1240670</v>
      </c>
      <c r="J54" s="70">
        <v>335</v>
      </c>
      <c r="K54" s="70">
        <v>186268</v>
      </c>
      <c r="L54" s="70">
        <v>5214947</v>
      </c>
      <c r="M54" s="70">
        <v>150493</v>
      </c>
      <c r="N54" s="70">
        <v>-50</v>
      </c>
      <c r="O54" s="70">
        <v>249678</v>
      </c>
      <c r="P54" s="73">
        <v>7521865</v>
      </c>
      <c r="Q54" s="72">
        <v>44601</v>
      </c>
      <c r="R54" s="70">
        <v>165964</v>
      </c>
      <c r="S54" s="70">
        <v>1635</v>
      </c>
      <c r="T54" s="70">
        <v>4468</v>
      </c>
      <c r="U54" s="70">
        <v>9444</v>
      </c>
      <c r="V54" s="73">
        <v>226113</v>
      </c>
      <c r="W54" s="74">
        <v>7747978</v>
      </c>
      <c r="X54" s="75">
        <v>1611174</v>
      </c>
      <c r="Y54" s="70">
        <v>0</v>
      </c>
      <c r="Z54" s="70">
        <v>0</v>
      </c>
      <c r="AA54" s="76">
        <v>0</v>
      </c>
      <c r="AB54" s="100">
        <v>0</v>
      </c>
      <c r="AC54" s="97">
        <v>0</v>
      </c>
      <c r="AD54" s="97"/>
      <c r="AE54" s="77"/>
      <c r="AF54" s="77">
        <v>0</v>
      </c>
      <c r="AG54" s="74">
        <v>4260533</v>
      </c>
      <c r="AH54" s="75">
        <v>978692</v>
      </c>
      <c r="AI54" s="79">
        <v>86597</v>
      </c>
      <c r="AJ54" s="72">
        <v>114881</v>
      </c>
      <c r="AK54" s="72">
        <v>1095967</v>
      </c>
      <c r="AL54" s="97">
        <v>0</v>
      </c>
      <c r="AM54" s="97">
        <v>0</v>
      </c>
      <c r="AN54" s="70">
        <v>37443</v>
      </c>
      <c r="AO54" s="70">
        <v>22599</v>
      </c>
      <c r="AP54" s="70">
        <v>912</v>
      </c>
      <c r="AQ54" s="70">
        <v>875295</v>
      </c>
      <c r="AR54" s="74">
        <v>2147097</v>
      </c>
      <c r="AS54" s="80">
        <v>16837097</v>
      </c>
    </row>
    <row r="55" spans="1:45" x14ac:dyDescent="0.3">
      <c r="A55" s="81" t="s">
        <v>95</v>
      </c>
      <c r="B55" s="243" t="s">
        <v>276</v>
      </c>
      <c r="C55" s="82">
        <v>0</v>
      </c>
      <c r="D55" s="83">
        <v>0</v>
      </c>
      <c r="E55" s="84">
        <v>0</v>
      </c>
      <c r="F55" s="93">
        <v>0</v>
      </c>
      <c r="G55" s="94">
        <v>0</v>
      </c>
      <c r="H55" s="83">
        <v>3892</v>
      </c>
      <c r="I55" s="83">
        <v>459</v>
      </c>
      <c r="J55" s="83">
        <v>266</v>
      </c>
      <c r="K55" s="94">
        <v>0</v>
      </c>
      <c r="L55" s="83">
        <v>399372</v>
      </c>
      <c r="M55" s="83">
        <v>0</v>
      </c>
      <c r="N55" s="83">
        <v>0</v>
      </c>
      <c r="O55" s="83">
        <v>0</v>
      </c>
      <c r="P55" s="86">
        <v>403989</v>
      </c>
      <c r="Q55" s="85">
        <v>345</v>
      </c>
      <c r="R55" s="83">
        <v>0</v>
      </c>
      <c r="S55" s="83">
        <v>0</v>
      </c>
      <c r="T55" s="83">
        <v>0</v>
      </c>
      <c r="U55" s="83">
        <v>0</v>
      </c>
      <c r="V55" s="86">
        <v>346</v>
      </c>
      <c r="W55" s="87">
        <v>404335</v>
      </c>
      <c r="X55" s="91">
        <v>3570</v>
      </c>
      <c r="Y55" s="83"/>
      <c r="Z55" s="83">
        <v>0</v>
      </c>
      <c r="AA55" s="89">
        <v>0</v>
      </c>
      <c r="AB55" s="93"/>
      <c r="AC55" s="94"/>
      <c r="AD55" s="94"/>
      <c r="AE55" s="95"/>
      <c r="AF55" s="95"/>
      <c r="AG55" s="87">
        <v>90795</v>
      </c>
      <c r="AH55" s="88">
        <v>1965</v>
      </c>
      <c r="AI55" s="103">
        <v>0</v>
      </c>
      <c r="AJ55" s="82">
        <v>0</v>
      </c>
      <c r="AK55" s="222">
        <v>2496</v>
      </c>
      <c r="AL55" s="94">
        <v>0</v>
      </c>
      <c r="AM55" s="94">
        <v>0</v>
      </c>
      <c r="AN55" s="83">
        <v>0</v>
      </c>
      <c r="AO55" s="83">
        <v>0</v>
      </c>
      <c r="AP55" s="83">
        <v>0</v>
      </c>
      <c r="AQ55" s="83"/>
      <c r="AR55" s="87">
        <v>2496</v>
      </c>
      <c r="AS55" s="92">
        <v>503161</v>
      </c>
    </row>
    <row r="56" spans="1:45" x14ac:dyDescent="0.3">
      <c r="A56" s="190" t="s">
        <v>66</v>
      </c>
      <c r="B56" s="241" t="s">
        <v>277</v>
      </c>
      <c r="C56" s="191"/>
      <c r="D56" s="192"/>
      <c r="E56" s="193">
        <v>0</v>
      </c>
      <c r="F56" s="200"/>
      <c r="G56" s="198"/>
      <c r="H56" s="192">
        <v>3892</v>
      </c>
      <c r="I56" s="192">
        <v>199</v>
      </c>
      <c r="J56" s="192">
        <v>266</v>
      </c>
      <c r="K56" s="198">
        <v>0</v>
      </c>
      <c r="L56" s="192">
        <v>312172</v>
      </c>
      <c r="M56" s="192">
        <v>0</v>
      </c>
      <c r="N56" s="192">
        <v>0</v>
      </c>
      <c r="O56" s="192">
        <v>0</v>
      </c>
      <c r="P56" s="195">
        <v>316529</v>
      </c>
      <c r="Q56" s="194">
        <v>163</v>
      </c>
      <c r="R56" s="192">
        <v>0</v>
      </c>
      <c r="S56" s="192">
        <v>0</v>
      </c>
      <c r="T56" s="192">
        <v>0</v>
      </c>
      <c r="U56" s="192">
        <v>0</v>
      </c>
      <c r="V56" s="195">
        <v>163</v>
      </c>
      <c r="W56" s="196">
        <v>316692</v>
      </c>
      <c r="X56" s="197">
        <v>3564</v>
      </c>
      <c r="Y56" s="192"/>
      <c r="Z56" s="192"/>
      <c r="AA56" s="193">
        <v>0</v>
      </c>
      <c r="AB56" s="200"/>
      <c r="AC56" s="198"/>
      <c r="AD56" s="198"/>
      <c r="AE56" s="201"/>
      <c r="AF56" s="201"/>
      <c r="AG56" s="196">
        <v>84023</v>
      </c>
      <c r="AH56" s="197">
        <v>1965</v>
      </c>
      <c r="AI56" s="223">
        <v>0</v>
      </c>
      <c r="AJ56" s="191"/>
      <c r="AK56" s="194">
        <v>2496</v>
      </c>
      <c r="AL56" s="198"/>
      <c r="AM56" s="198"/>
      <c r="AN56" s="192"/>
      <c r="AO56" s="192"/>
      <c r="AP56" s="192">
        <v>0</v>
      </c>
      <c r="AQ56" s="192"/>
      <c r="AR56" s="196">
        <v>2496</v>
      </c>
      <c r="AS56" s="205">
        <v>408740</v>
      </c>
    </row>
    <row r="57" spans="1:45" x14ac:dyDescent="0.3">
      <c r="A57" s="190" t="s">
        <v>96</v>
      </c>
      <c r="B57" s="241" t="s">
        <v>278</v>
      </c>
      <c r="C57" s="191"/>
      <c r="D57" s="192"/>
      <c r="E57" s="193">
        <v>0</v>
      </c>
      <c r="F57" s="200"/>
      <c r="G57" s="198"/>
      <c r="H57" s="192">
        <v>0</v>
      </c>
      <c r="I57" s="192">
        <v>260</v>
      </c>
      <c r="J57" s="192">
        <v>0</v>
      </c>
      <c r="K57" s="198">
        <v>0</v>
      </c>
      <c r="L57" s="192">
        <v>87200</v>
      </c>
      <c r="M57" s="192">
        <v>0</v>
      </c>
      <c r="N57" s="192">
        <v>0</v>
      </c>
      <c r="O57" s="192">
        <v>0</v>
      </c>
      <c r="P57" s="195">
        <v>87460</v>
      </c>
      <c r="Q57" s="194">
        <v>183</v>
      </c>
      <c r="R57" s="192">
        <v>0</v>
      </c>
      <c r="S57" s="192">
        <v>0</v>
      </c>
      <c r="T57" s="192">
        <v>0</v>
      </c>
      <c r="U57" s="192">
        <v>0</v>
      </c>
      <c r="V57" s="195">
        <v>183</v>
      </c>
      <c r="W57" s="196">
        <v>87643</v>
      </c>
      <c r="X57" s="197">
        <v>6</v>
      </c>
      <c r="Y57" s="192"/>
      <c r="Z57" s="192"/>
      <c r="AA57" s="193">
        <v>0</v>
      </c>
      <c r="AB57" s="200"/>
      <c r="AC57" s="198"/>
      <c r="AD57" s="198"/>
      <c r="AE57" s="201"/>
      <c r="AF57" s="201"/>
      <c r="AG57" s="196">
        <v>6772</v>
      </c>
      <c r="AH57" s="197"/>
      <c r="AI57" s="223"/>
      <c r="AJ57" s="191"/>
      <c r="AK57" s="194">
        <v>0</v>
      </c>
      <c r="AL57" s="198"/>
      <c r="AM57" s="198"/>
      <c r="AN57" s="192"/>
      <c r="AO57" s="192"/>
      <c r="AP57" s="192">
        <v>0</v>
      </c>
      <c r="AQ57" s="192"/>
      <c r="AR57" s="196">
        <v>0</v>
      </c>
      <c r="AS57" s="205">
        <v>94421</v>
      </c>
    </row>
    <row r="58" spans="1:45" x14ac:dyDescent="0.3">
      <c r="A58" s="68" t="s">
        <v>97</v>
      </c>
      <c r="B58" s="242" t="s">
        <v>279</v>
      </c>
      <c r="C58" s="69">
        <v>0</v>
      </c>
      <c r="D58" s="70">
        <v>0</v>
      </c>
      <c r="E58" s="71">
        <v>0</v>
      </c>
      <c r="F58" s="100"/>
      <c r="G58" s="97"/>
      <c r="H58" s="70">
        <v>771</v>
      </c>
      <c r="I58" s="70">
        <v>0</v>
      </c>
      <c r="J58" s="70">
        <v>0</v>
      </c>
      <c r="K58" s="97">
        <v>0</v>
      </c>
      <c r="L58" s="70">
        <v>28090</v>
      </c>
      <c r="M58" s="70">
        <v>676</v>
      </c>
      <c r="N58" s="70">
        <v>0</v>
      </c>
      <c r="O58" s="70">
        <v>0</v>
      </c>
      <c r="P58" s="73">
        <v>29537</v>
      </c>
      <c r="Q58" s="72">
        <v>879</v>
      </c>
      <c r="R58" s="70">
        <v>0</v>
      </c>
      <c r="S58" s="70">
        <v>0</v>
      </c>
      <c r="T58" s="70">
        <v>0</v>
      </c>
      <c r="U58" s="70">
        <v>0</v>
      </c>
      <c r="V58" s="73">
        <v>879</v>
      </c>
      <c r="W58" s="74">
        <v>30416</v>
      </c>
      <c r="X58" s="75">
        <v>2817</v>
      </c>
      <c r="Y58" s="70"/>
      <c r="Z58" s="70"/>
      <c r="AA58" s="76">
        <v>0</v>
      </c>
      <c r="AB58" s="100"/>
      <c r="AC58" s="97"/>
      <c r="AD58" s="97"/>
      <c r="AE58" s="77"/>
      <c r="AF58" s="77"/>
      <c r="AG58" s="74">
        <v>47876</v>
      </c>
      <c r="AH58" s="75">
        <v>2371</v>
      </c>
      <c r="AI58" s="79">
        <v>0</v>
      </c>
      <c r="AJ58" s="69"/>
      <c r="AK58" s="72"/>
      <c r="AL58" s="97"/>
      <c r="AM58" s="97"/>
      <c r="AN58" s="70"/>
      <c r="AO58" s="70"/>
      <c r="AP58" s="70">
        <v>0</v>
      </c>
      <c r="AQ58" s="70"/>
      <c r="AR58" s="74">
        <v>0</v>
      </c>
      <c r="AS58" s="80">
        <v>83480</v>
      </c>
    </row>
    <row r="59" spans="1:45" x14ac:dyDescent="0.3">
      <c r="A59" s="104" t="s">
        <v>98</v>
      </c>
      <c r="B59" s="246" t="s">
        <v>280</v>
      </c>
      <c r="C59" s="105">
        <v>1303</v>
      </c>
      <c r="D59" s="106">
        <v>3723</v>
      </c>
      <c r="E59" s="107">
        <v>5026</v>
      </c>
      <c r="F59" s="108">
        <v>0</v>
      </c>
      <c r="G59" s="109">
        <v>0</v>
      </c>
      <c r="H59" s="106">
        <v>44979</v>
      </c>
      <c r="I59" s="106">
        <v>1260</v>
      </c>
      <c r="J59" s="106">
        <v>22</v>
      </c>
      <c r="K59" s="109">
        <v>0</v>
      </c>
      <c r="L59" s="106">
        <v>42971</v>
      </c>
      <c r="M59" s="106">
        <v>54929</v>
      </c>
      <c r="N59" s="106">
        <v>-50</v>
      </c>
      <c r="O59" s="106">
        <v>249678</v>
      </c>
      <c r="P59" s="110">
        <v>393789</v>
      </c>
      <c r="Q59" s="111">
        <v>10899</v>
      </c>
      <c r="R59" s="106">
        <v>862</v>
      </c>
      <c r="S59" s="106">
        <v>1635</v>
      </c>
      <c r="T59" s="106">
        <v>4046</v>
      </c>
      <c r="U59" s="106">
        <v>9444</v>
      </c>
      <c r="V59" s="110">
        <v>26886</v>
      </c>
      <c r="W59" s="112">
        <v>420675</v>
      </c>
      <c r="X59" s="113">
        <v>1082106</v>
      </c>
      <c r="Y59" s="106">
        <v>0</v>
      </c>
      <c r="Z59" s="106">
        <v>0</v>
      </c>
      <c r="AA59" s="114">
        <v>0</v>
      </c>
      <c r="AB59" s="108">
        <v>0</v>
      </c>
      <c r="AC59" s="109">
        <v>0</v>
      </c>
      <c r="AD59" s="109"/>
      <c r="AE59" s="115"/>
      <c r="AF59" s="115">
        <v>0</v>
      </c>
      <c r="AG59" s="112">
        <v>1374930</v>
      </c>
      <c r="AH59" s="113">
        <v>961327</v>
      </c>
      <c r="AI59" s="113">
        <v>86597</v>
      </c>
      <c r="AJ59" s="116">
        <v>0</v>
      </c>
      <c r="AK59" s="116">
        <v>264986</v>
      </c>
      <c r="AL59" s="94">
        <v>0</v>
      </c>
      <c r="AM59" s="94">
        <v>0</v>
      </c>
      <c r="AN59" s="83">
        <v>35545</v>
      </c>
      <c r="AO59" s="83">
        <v>22306</v>
      </c>
      <c r="AP59" s="83">
        <v>174</v>
      </c>
      <c r="AQ59" s="83"/>
      <c r="AR59" s="112">
        <v>323011</v>
      </c>
      <c r="AS59" s="117">
        <v>4253672</v>
      </c>
    </row>
    <row r="60" spans="1:45" x14ac:dyDescent="0.3">
      <c r="A60" s="190" t="s">
        <v>67</v>
      </c>
      <c r="B60" s="241" t="s">
        <v>281</v>
      </c>
      <c r="C60" s="191">
        <v>0</v>
      </c>
      <c r="D60" s="192">
        <v>0</v>
      </c>
      <c r="E60" s="193">
        <v>0</v>
      </c>
      <c r="F60" s="200"/>
      <c r="G60" s="198"/>
      <c r="H60" s="192">
        <v>15227</v>
      </c>
      <c r="I60" s="192">
        <v>0</v>
      </c>
      <c r="J60" s="192">
        <v>0</v>
      </c>
      <c r="K60" s="198">
        <v>0</v>
      </c>
      <c r="L60" s="192">
        <v>10757</v>
      </c>
      <c r="M60" s="192">
        <v>9116</v>
      </c>
      <c r="N60" s="192">
        <v>0</v>
      </c>
      <c r="O60" s="192">
        <v>0</v>
      </c>
      <c r="P60" s="195">
        <v>35100</v>
      </c>
      <c r="Q60" s="194">
        <v>178</v>
      </c>
      <c r="R60" s="192">
        <v>0</v>
      </c>
      <c r="S60" s="192">
        <v>0</v>
      </c>
      <c r="T60" s="192">
        <v>0</v>
      </c>
      <c r="U60" s="192">
        <v>0</v>
      </c>
      <c r="V60" s="195">
        <v>178</v>
      </c>
      <c r="W60" s="196">
        <v>35278</v>
      </c>
      <c r="X60" s="197">
        <v>174298</v>
      </c>
      <c r="Y60" s="192"/>
      <c r="Z60" s="192"/>
      <c r="AA60" s="193">
        <v>0</v>
      </c>
      <c r="AB60" s="200"/>
      <c r="AC60" s="198"/>
      <c r="AD60" s="198"/>
      <c r="AE60" s="201"/>
      <c r="AF60" s="201"/>
      <c r="AG60" s="196">
        <v>186649</v>
      </c>
      <c r="AH60" s="197">
        <v>30191</v>
      </c>
      <c r="AI60" s="197">
        <v>0</v>
      </c>
      <c r="AJ60" s="191">
        <v>0</v>
      </c>
      <c r="AK60" s="194">
        <v>22764</v>
      </c>
      <c r="AL60" s="198">
        <v>0</v>
      </c>
      <c r="AM60" s="198">
        <v>0</v>
      </c>
      <c r="AN60" s="192">
        <v>0</v>
      </c>
      <c r="AO60" s="192">
        <v>2778</v>
      </c>
      <c r="AP60" s="192">
        <v>0</v>
      </c>
      <c r="AQ60" s="192"/>
      <c r="AR60" s="196">
        <v>25542</v>
      </c>
      <c r="AS60" s="205">
        <v>451958</v>
      </c>
    </row>
    <row r="61" spans="1:45" x14ac:dyDescent="0.3">
      <c r="A61" s="190" t="s">
        <v>68</v>
      </c>
      <c r="B61" s="241" t="s">
        <v>282</v>
      </c>
      <c r="C61" s="191">
        <v>0</v>
      </c>
      <c r="D61" s="192">
        <v>0</v>
      </c>
      <c r="E61" s="193">
        <v>0</v>
      </c>
      <c r="F61" s="200"/>
      <c r="G61" s="198"/>
      <c r="H61" s="192">
        <v>2779</v>
      </c>
      <c r="I61" s="192">
        <v>0</v>
      </c>
      <c r="J61" s="192">
        <v>0</v>
      </c>
      <c r="K61" s="198">
        <v>0</v>
      </c>
      <c r="L61" s="192">
        <v>5</v>
      </c>
      <c r="M61" s="192">
        <v>1195</v>
      </c>
      <c r="N61" s="192">
        <v>0</v>
      </c>
      <c r="O61" s="192">
        <v>0</v>
      </c>
      <c r="P61" s="195">
        <v>3979</v>
      </c>
      <c r="Q61" s="194">
        <v>948</v>
      </c>
      <c r="R61" s="192">
        <v>0</v>
      </c>
      <c r="S61" s="192">
        <v>0</v>
      </c>
      <c r="T61" s="192">
        <v>0</v>
      </c>
      <c r="U61" s="192">
        <v>0</v>
      </c>
      <c r="V61" s="195">
        <v>948</v>
      </c>
      <c r="W61" s="196">
        <v>4927</v>
      </c>
      <c r="X61" s="197">
        <v>100496</v>
      </c>
      <c r="Y61" s="192"/>
      <c r="Z61" s="192"/>
      <c r="AA61" s="193">
        <v>0</v>
      </c>
      <c r="AB61" s="200"/>
      <c r="AC61" s="198"/>
      <c r="AD61" s="198"/>
      <c r="AE61" s="201"/>
      <c r="AF61" s="201"/>
      <c r="AG61" s="196">
        <v>69412</v>
      </c>
      <c r="AH61" s="197">
        <v>12084</v>
      </c>
      <c r="AI61" s="197">
        <v>0</v>
      </c>
      <c r="AJ61" s="191">
        <v>0</v>
      </c>
      <c r="AK61" s="194">
        <v>17817</v>
      </c>
      <c r="AL61" s="198">
        <v>0</v>
      </c>
      <c r="AM61" s="198">
        <v>0</v>
      </c>
      <c r="AN61" s="192">
        <v>0</v>
      </c>
      <c r="AO61" s="192">
        <v>0</v>
      </c>
      <c r="AP61" s="192">
        <v>0</v>
      </c>
      <c r="AQ61" s="192"/>
      <c r="AR61" s="196">
        <v>17817</v>
      </c>
      <c r="AS61" s="205">
        <v>204736</v>
      </c>
    </row>
    <row r="62" spans="1:45" x14ac:dyDescent="0.3">
      <c r="A62" s="190" t="s">
        <v>69</v>
      </c>
      <c r="B62" s="241" t="s">
        <v>283</v>
      </c>
      <c r="C62" s="191">
        <v>0</v>
      </c>
      <c r="D62" s="192">
        <v>0</v>
      </c>
      <c r="E62" s="193">
        <v>0</v>
      </c>
      <c r="F62" s="200"/>
      <c r="G62" s="198"/>
      <c r="H62" s="192">
        <v>776</v>
      </c>
      <c r="I62" s="192">
        <v>0</v>
      </c>
      <c r="J62" s="192">
        <v>2</v>
      </c>
      <c r="K62" s="198">
        <v>0</v>
      </c>
      <c r="L62" s="192">
        <v>3212</v>
      </c>
      <c r="M62" s="192">
        <v>41470</v>
      </c>
      <c r="N62" s="192">
        <v>0</v>
      </c>
      <c r="O62" s="192">
        <v>0</v>
      </c>
      <c r="P62" s="195">
        <v>45460</v>
      </c>
      <c r="Q62" s="194">
        <v>624</v>
      </c>
      <c r="R62" s="192">
        <v>0</v>
      </c>
      <c r="S62" s="192">
        <v>0</v>
      </c>
      <c r="T62" s="192">
        <v>0</v>
      </c>
      <c r="U62" s="192">
        <v>2563</v>
      </c>
      <c r="V62" s="195">
        <v>3187</v>
      </c>
      <c r="W62" s="196">
        <v>48647</v>
      </c>
      <c r="X62" s="197">
        <v>109555</v>
      </c>
      <c r="Y62" s="192"/>
      <c r="Z62" s="192"/>
      <c r="AA62" s="193">
        <v>0</v>
      </c>
      <c r="AB62" s="200"/>
      <c r="AC62" s="198"/>
      <c r="AD62" s="198"/>
      <c r="AE62" s="201"/>
      <c r="AF62" s="201"/>
      <c r="AG62" s="196">
        <v>257322</v>
      </c>
      <c r="AH62" s="197">
        <v>859088</v>
      </c>
      <c r="AI62" s="197">
        <v>0</v>
      </c>
      <c r="AJ62" s="191">
        <v>0</v>
      </c>
      <c r="AK62" s="194">
        <v>109023</v>
      </c>
      <c r="AL62" s="198">
        <v>0</v>
      </c>
      <c r="AM62" s="198">
        <v>0</v>
      </c>
      <c r="AN62" s="192">
        <v>3320</v>
      </c>
      <c r="AO62" s="192">
        <v>19528</v>
      </c>
      <c r="AP62" s="192">
        <v>0</v>
      </c>
      <c r="AQ62" s="192"/>
      <c r="AR62" s="196">
        <v>131871</v>
      </c>
      <c r="AS62" s="205">
        <v>1406483</v>
      </c>
    </row>
    <row r="63" spans="1:45" x14ac:dyDescent="0.3">
      <c r="A63" s="190" t="s">
        <v>70</v>
      </c>
      <c r="B63" s="241" t="s">
        <v>284</v>
      </c>
      <c r="C63" s="191">
        <v>0</v>
      </c>
      <c r="D63" s="192">
        <v>0</v>
      </c>
      <c r="E63" s="193">
        <v>0</v>
      </c>
      <c r="F63" s="200"/>
      <c r="G63" s="198"/>
      <c r="H63" s="192">
        <v>2259</v>
      </c>
      <c r="I63" s="192">
        <v>0</v>
      </c>
      <c r="J63" s="192">
        <v>1</v>
      </c>
      <c r="K63" s="198">
        <v>0</v>
      </c>
      <c r="L63" s="192">
        <v>1202</v>
      </c>
      <c r="M63" s="192">
        <v>354</v>
      </c>
      <c r="N63" s="192">
        <v>-50</v>
      </c>
      <c r="O63" s="192">
        <v>0</v>
      </c>
      <c r="P63" s="195">
        <v>3766</v>
      </c>
      <c r="Q63" s="194">
        <v>3461</v>
      </c>
      <c r="R63" s="192">
        <v>862</v>
      </c>
      <c r="S63" s="192">
        <v>824</v>
      </c>
      <c r="T63" s="192">
        <v>3938</v>
      </c>
      <c r="U63" s="192">
        <v>6881</v>
      </c>
      <c r="V63" s="195">
        <v>15966</v>
      </c>
      <c r="W63" s="196">
        <v>19732</v>
      </c>
      <c r="X63" s="197">
        <v>98226</v>
      </c>
      <c r="Y63" s="192"/>
      <c r="Z63" s="192"/>
      <c r="AA63" s="193">
        <v>0</v>
      </c>
      <c r="AB63" s="200"/>
      <c r="AC63" s="198"/>
      <c r="AD63" s="198"/>
      <c r="AE63" s="201"/>
      <c r="AF63" s="201"/>
      <c r="AG63" s="196">
        <v>214357</v>
      </c>
      <c r="AH63" s="197">
        <v>38741</v>
      </c>
      <c r="AI63" s="197">
        <v>150</v>
      </c>
      <c r="AJ63" s="191">
        <v>0</v>
      </c>
      <c r="AK63" s="194">
        <v>3730</v>
      </c>
      <c r="AL63" s="198">
        <v>0</v>
      </c>
      <c r="AM63" s="198">
        <v>0</v>
      </c>
      <c r="AN63" s="192">
        <v>0</v>
      </c>
      <c r="AO63" s="192">
        <v>0</v>
      </c>
      <c r="AP63" s="192">
        <v>174</v>
      </c>
      <c r="AQ63" s="192"/>
      <c r="AR63" s="196">
        <v>3904</v>
      </c>
      <c r="AS63" s="205">
        <v>375110</v>
      </c>
    </row>
    <row r="64" spans="1:45" x14ac:dyDescent="0.3">
      <c r="A64" s="190" t="s">
        <v>71</v>
      </c>
      <c r="B64" s="241" t="s">
        <v>285</v>
      </c>
      <c r="C64" s="191">
        <v>0</v>
      </c>
      <c r="D64" s="192">
        <v>0</v>
      </c>
      <c r="E64" s="193">
        <v>0</v>
      </c>
      <c r="F64" s="200"/>
      <c r="G64" s="198"/>
      <c r="H64" s="192">
        <v>2538</v>
      </c>
      <c r="I64" s="192">
        <v>0</v>
      </c>
      <c r="J64" s="192">
        <v>0</v>
      </c>
      <c r="K64" s="198">
        <v>0</v>
      </c>
      <c r="L64" s="192">
        <v>759</v>
      </c>
      <c r="M64" s="192">
        <v>0</v>
      </c>
      <c r="N64" s="192">
        <v>0</v>
      </c>
      <c r="O64" s="192">
        <v>10844</v>
      </c>
      <c r="P64" s="195">
        <v>14141</v>
      </c>
      <c r="Q64" s="194">
        <v>71</v>
      </c>
      <c r="R64" s="192">
        <v>0</v>
      </c>
      <c r="S64" s="192">
        <v>0</v>
      </c>
      <c r="T64" s="192">
        <v>0</v>
      </c>
      <c r="U64" s="192">
        <v>0</v>
      </c>
      <c r="V64" s="195">
        <v>71</v>
      </c>
      <c r="W64" s="196">
        <v>14212</v>
      </c>
      <c r="X64" s="197">
        <v>179204</v>
      </c>
      <c r="Y64" s="192"/>
      <c r="Z64" s="192"/>
      <c r="AA64" s="193">
        <v>0</v>
      </c>
      <c r="AB64" s="200"/>
      <c r="AC64" s="198"/>
      <c r="AD64" s="198"/>
      <c r="AE64" s="201"/>
      <c r="AF64" s="201"/>
      <c r="AG64" s="196">
        <v>39643</v>
      </c>
      <c r="AH64" s="197">
        <v>1094</v>
      </c>
      <c r="AI64" s="197">
        <v>0</v>
      </c>
      <c r="AJ64" s="191">
        <v>0</v>
      </c>
      <c r="AK64" s="194">
        <v>23738</v>
      </c>
      <c r="AL64" s="198">
        <v>0</v>
      </c>
      <c r="AM64" s="198">
        <v>0</v>
      </c>
      <c r="AN64" s="192">
        <v>0</v>
      </c>
      <c r="AO64" s="192">
        <v>0</v>
      </c>
      <c r="AP64" s="192">
        <v>0</v>
      </c>
      <c r="AQ64" s="192"/>
      <c r="AR64" s="196">
        <v>23738</v>
      </c>
      <c r="AS64" s="205">
        <v>257891</v>
      </c>
    </row>
    <row r="65" spans="1:45" x14ac:dyDescent="0.3">
      <c r="A65" s="190" t="s">
        <v>72</v>
      </c>
      <c r="B65" s="241" t="s">
        <v>286</v>
      </c>
      <c r="C65" s="191">
        <v>0</v>
      </c>
      <c r="D65" s="192">
        <v>0</v>
      </c>
      <c r="E65" s="193">
        <v>0</v>
      </c>
      <c r="F65" s="200"/>
      <c r="G65" s="198"/>
      <c r="H65" s="192">
        <v>202</v>
      </c>
      <c r="I65" s="192">
        <v>0</v>
      </c>
      <c r="J65" s="192">
        <v>0</v>
      </c>
      <c r="K65" s="198">
        <v>0</v>
      </c>
      <c r="L65" s="192">
        <v>104</v>
      </c>
      <c r="M65" s="192">
        <v>831</v>
      </c>
      <c r="N65" s="192">
        <v>0</v>
      </c>
      <c r="O65" s="192">
        <v>0</v>
      </c>
      <c r="P65" s="195">
        <v>1137</v>
      </c>
      <c r="Q65" s="194">
        <v>141</v>
      </c>
      <c r="R65" s="192">
        <v>0</v>
      </c>
      <c r="S65" s="192">
        <v>0</v>
      </c>
      <c r="T65" s="192">
        <v>0</v>
      </c>
      <c r="U65" s="192">
        <v>0</v>
      </c>
      <c r="V65" s="195">
        <v>141</v>
      </c>
      <c r="W65" s="196">
        <v>1278</v>
      </c>
      <c r="X65" s="197">
        <v>213663</v>
      </c>
      <c r="Y65" s="192"/>
      <c r="Z65" s="192"/>
      <c r="AA65" s="193">
        <v>0</v>
      </c>
      <c r="AB65" s="200"/>
      <c r="AC65" s="198"/>
      <c r="AD65" s="198"/>
      <c r="AE65" s="201"/>
      <c r="AF65" s="201"/>
      <c r="AG65" s="196">
        <v>49237</v>
      </c>
      <c r="AH65" s="197">
        <v>0</v>
      </c>
      <c r="AI65" s="197">
        <v>0</v>
      </c>
      <c r="AJ65" s="191">
        <v>0</v>
      </c>
      <c r="AK65" s="194">
        <v>0</v>
      </c>
      <c r="AL65" s="198">
        <v>0</v>
      </c>
      <c r="AM65" s="198">
        <v>0</v>
      </c>
      <c r="AN65" s="192">
        <v>0</v>
      </c>
      <c r="AO65" s="192">
        <v>0</v>
      </c>
      <c r="AP65" s="192">
        <v>0</v>
      </c>
      <c r="AQ65" s="192"/>
      <c r="AR65" s="196">
        <v>0</v>
      </c>
      <c r="AS65" s="205">
        <v>264178</v>
      </c>
    </row>
    <row r="66" spans="1:45" x14ac:dyDescent="0.3">
      <c r="A66" s="190" t="s">
        <v>73</v>
      </c>
      <c r="B66" s="241" t="s">
        <v>287</v>
      </c>
      <c r="C66" s="191">
        <v>0</v>
      </c>
      <c r="D66" s="192">
        <v>0</v>
      </c>
      <c r="E66" s="193">
        <v>0</v>
      </c>
      <c r="F66" s="200"/>
      <c r="G66" s="198"/>
      <c r="H66" s="192">
        <v>433</v>
      </c>
      <c r="I66" s="192">
        <v>0</v>
      </c>
      <c r="J66" s="192">
        <v>18</v>
      </c>
      <c r="K66" s="198">
        <v>0</v>
      </c>
      <c r="L66" s="192">
        <v>14635</v>
      </c>
      <c r="M66" s="192">
        <v>981</v>
      </c>
      <c r="N66" s="192">
        <v>0</v>
      </c>
      <c r="O66" s="192">
        <v>238834</v>
      </c>
      <c r="P66" s="195">
        <v>254901</v>
      </c>
      <c r="Q66" s="194">
        <v>308</v>
      </c>
      <c r="R66" s="192">
        <v>0</v>
      </c>
      <c r="S66" s="192">
        <v>0</v>
      </c>
      <c r="T66" s="192">
        <v>0</v>
      </c>
      <c r="U66" s="192">
        <v>0</v>
      </c>
      <c r="V66" s="195">
        <v>308</v>
      </c>
      <c r="W66" s="196">
        <v>255209</v>
      </c>
      <c r="X66" s="197">
        <v>38405</v>
      </c>
      <c r="Y66" s="192"/>
      <c r="Z66" s="192"/>
      <c r="AA66" s="193">
        <v>0</v>
      </c>
      <c r="AB66" s="200"/>
      <c r="AC66" s="198"/>
      <c r="AD66" s="198"/>
      <c r="AE66" s="201"/>
      <c r="AF66" s="201"/>
      <c r="AG66" s="196">
        <v>58903</v>
      </c>
      <c r="AH66" s="197">
        <v>0</v>
      </c>
      <c r="AI66" s="197">
        <v>83069</v>
      </c>
      <c r="AJ66" s="191">
        <v>0</v>
      </c>
      <c r="AK66" s="194">
        <v>33129</v>
      </c>
      <c r="AL66" s="198">
        <v>0</v>
      </c>
      <c r="AM66" s="198">
        <v>0</v>
      </c>
      <c r="AN66" s="192">
        <v>32225</v>
      </c>
      <c r="AO66" s="192">
        <v>0</v>
      </c>
      <c r="AP66" s="192">
        <v>0</v>
      </c>
      <c r="AQ66" s="192"/>
      <c r="AR66" s="196">
        <v>65354</v>
      </c>
      <c r="AS66" s="205">
        <v>500940</v>
      </c>
    </row>
    <row r="67" spans="1:45" x14ac:dyDescent="0.3">
      <c r="A67" s="190" t="s">
        <v>74</v>
      </c>
      <c r="B67" s="241" t="s">
        <v>288</v>
      </c>
      <c r="C67" s="191">
        <v>1</v>
      </c>
      <c r="D67" s="192">
        <v>1863</v>
      </c>
      <c r="E67" s="193">
        <v>1864</v>
      </c>
      <c r="F67" s="200"/>
      <c r="G67" s="198"/>
      <c r="H67" s="192">
        <v>1547</v>
      </c>
      <c r="I67" s="192">
        <v>0</v>
      </c>
      <c r="J67" s="192">
        <v>0</v>
      </c>
      <c r="K67" s="198">
        <v>0</v>
      </c>
      <c r="L67" s="192">
        <v>259</v>
      </c>
      <c r="M67" s="192">
        <v>0</v>
      </c>
      <c r="N67" s="192">
        <v>0</v>
      </c>
      <c r="O67" s="192">
        <v>0</v>
      </c>
      <c r="P67" s="195">
        <v>1806</v>
      </c>
      <c r="Q67" s="194">
        <v>408</v>
      </c>
      <c r="R67" s="192">
        <v>0</v>
      </c>
      <c r="S67" s="192">
        <v>0</v>
      </c>
      <c r="T67" s="192">
        <v>2</v>
      </c>
      <c r="U67" s="192">
        <v>0</v>
      </c>
      <c r="V67" s="195">
        <v>410</v>
      </c>
      <c r="W67" s="196">
        <v>2216</v>
      </c>
      <c r="X67" s="197">
        <v>24396</v>
      </c>
      <c r="Y67" s="192"/>
      <c r="Z67" s="192"/>
      <c r="AA67" s="193">
        <v>0</v>
      </c>
      <c r="AB67" s="200"/>
      <c r="AC67" s="198"/>
      <c r="AD67" s="198"/>
      <c r="AE67" s="201"/>
      <c r="AF67" s="201"/>
      <c r="AG67" s="196">
        <v>28121</v>
      </c>
      <c r="AH67" s="197">
        <v>0</v>
      </c>
      <c r="AI67" s="197">
        <v>0</v>
      </c>
      <c r="AJ67" s="191">
        <v>0</v>
      </c>
      <c r="AK67" s="194">
        <v>541</v>
      </c>
      <c r="AL67" s="198">
        <v>0</v>
      </c>
      <c r="AM67" s="198">
        <v>0</v>
      </c>
      <c r="AN67" s="192">
        <v>0</v>
      </c>
      <c r="AO67" s="192">
        <v>0</v>
      </c>
      <c r="AP67" s="192">
        <v>0</v>
      </c>
      <c r="AQ67" s="192"/>
      <c r="AR67" s="196">
        <v>541</v>
      </c>
      <c r="AS67" s="205">
        <v>57138</v>
      </c>
    </row>
    <row r="68" spans="1:45" x14ac:dyDescent="0.3">
      <c r="A68" s="190" t="s">
        <v>75</v>
      </c>
      <c r="B68" s="241" t="s">
        <v>289</v>
      </c>
      <c r="C68" s="191">
        <v>1199</v>
      </c>
      <c r="D68" s="192">
        <v>1809</v>
      </c>
      <c r="E68" s="193">
        <v>3008</v>
      </c>
      <c r="F68" s="200"/>
      <c r="G68" s="198"/>
      <c r="H68" s="192">
        <v>0</v>
      </c>
      <c r="I68" s="192">
        <v>0</v>
      </c>
      <c r="J68" s="192">
        <v>0</v>
      </c>
      <c r="K68" s="198">
        <v>0</v>
      </c>
      <c r="L68" s="192">
        <v>1050</v>
      </c>
      <c r="M68" s="192">
        <v>0</v>
      </c>
      <c r="N68" s="192">
        <v>0</v>
      </c>
      <c r="O68" s="192">
        <v>0</v>
      </c>
      <c r="P68" s="195">
        <v>1050</v>
      </c>
      <c r="Q68" s="194">
        <v>309</v>
      </c>
      <c r="R68" s="192">
        <v>0</v>
      </c>
      <c r="S68" s="192">
        <v>0</v>
      </c>
      <c r="T68" s="192">
        <v>6</v>
      </c>
      <c r="U68" s="192">
        <v>0</v>
      </c>
      <c r="V68" s="195">
        <v>315</v>
      </c>
      <c r="W68" s="196">
        <v>1365</v>
      </c>
      <c r="X68" s="197">
        <v>49414</v>
      </c>
      <c r="Y68" s="192"/>
      <c r="Z68" s="192"/>
      <c r="AA68" s="193">
        <v>0</v>
      </c>
      <c r="AB68" s="200"/>
      <c r="AC68" s="198"/>
      <c r="AD68" s="198"/>
      <c r="AE68" s="201"/>
      <c r="AF68" s="201"/>
      <c r="AG68" s="196">
        <v>110787</v>
      </c>
      <c r="AH68" s="197">
        <v>0</v>
      </c>
      <c r="AI68" s="197">
        <v>0</v>
      </c>
      <c r="AJ68" s="191">
        <v>0</v>
      </c>
      <c r="AK68" s="194">
        <v>0</v>
      </c>
      <c r="AL68" s="198">
        <v>0</v>
      </c>
      <c r="AM68" s="198">
        <v>0</v>
      </c>
      <c r="AN68" s="192">
        <v>0</v>
      </c>
      <c r="AO68" s="192">
        <v>0</v>
      </c>
      <c r="AP68" s="192">
        <v>0</v>
      </c>
      <c r="AQ68" s="192"/>
      <c r="AR68" s="196">
        <v>0</v>
      </c>
      <c r="AS68" s="205">
        <v>164574</v>
      </c>
    </row>
    <row r="69" spans="1:45" x14ac:dyDescent="0.3">
      <c r="A69" s="190" t="s">
        <v>76</v>
      </c>
      <c r="B69" s="241" t="s">
        <v>290</v>
      </c>
      <c r="C69" s="191">
        <v>0</v>
      </c>
      <c r="D69" s="192">
        <v>0</v>
      </c>
      <c r="E69" s="193">
        <v>0</v>
      </c>
      <c r="F69" s="200"/>
      <c r="G69" s="198"/>
      <c r="H69" s="192">
        <v>1866</v>
      </c>
      <c r="I69" s="192">
        <v>0</v>
      </c>
      <c r="J69" s="224">
        <v>0</v>
      </c>
      <c r="K69" s="198">
        <v>0</v>
      </c>
      <c r="L69" s="192">
        <v>7</v>
      </c>
      <c r="M69" s="192">
        <v>132</v>
      </c>
      <c r="N69" s="192">
        <v>0</v>
      </c>
      <c r="O69" s="192">
        <v>0</v>
      </c>
      <c r="P69" s="195">
        <v>2005</v>
      </c>
      <c r="Q69" s="194">
        <v>27</v>
      </c>
      <c r="R69" s="192">
        <v>0</v>
      </c>
      <c r="S69" s="192">
        <v>0</v>
      </c>
      <c r="T69" s="192">
        <v>0</v>
      </c>
      <c r="U69" s="192">
        <v>0</v>
      </c>
      <c r="V69" s="195">
        <v>27</v>
      </c>
      <c r="W69" s="196">
        <v>2032</v>
      </c>
      <c r="X69" s="197">
        <v>11022</v>
      </c>
      <c r="Y69" s="192"/>
      <c r="Z69" s="192"/>
      <c r="AA69" s="193">
        <v>0</v>
      </c>
      <c r="AB69" s="200"/>
      <c r="AC69" s="198"/>
      <c r="AD69" s="198"/>
      <c r="AE69" s="201"/>
      <c r="AF69" s="201"/>
      <c r="AG69" s="196">
        <v>27953</v>
      </c>
      <c r="AH69" s="197">
        <v>1285</v>
      </c>
      <c r="AI69" s="197">
        <v>0</v>
      </c>
      <c r="AJ69" s="191">
        <v>0</v>
      </c>
      <c r="AK69" s="194">
        <v>3305</v>
      </c>
      <c r="AL69" s="198">
        <v>0</v>
      </c>
      <c r="AM69" s="198">
        <v>0</v>
      </c>
      <c r="AN69" s="192">
        <v>0</v>
      </c>
      <c r="AO69" s="192">
        <v>0</v>
      </c>
      <c r="AP69" s="192">
        <v>0</v>
      </c>
      <c r="AQ69" s="192"/>
      <c r="AR69" s="196">
        <v>3305</v>
      </c>
      <c r="AS69" s="205">
        <v>45597</v>
      </c>
    </row>
    <row r="70" spans="1:45" x14ac:dyDescent="0.3">
      <c r="A70" s="190" t="s">
        <v>77</v>
      </c>
      <c r="B70" s="241" t="s">
        <v>291</v>
      </c>
      <c r="C70" s="191">
        <v>0</v>
      </c>
      <c r="D70" s="192">
        <v>0</v>
      </c>
      <c r="E70" s="193">
        <v>0</v>
      </c>
      <c r="F70" s="200"/>
      <c r="G70" s="198"/>
      <c r="H70" s="192">
        <v>977</v>
      </c>
      <c r="I70" s="192">
        <v>0</v>
      </c>
      <c r="J70" s="192">
        <v>0</v>
      </c>
      <c r="K70" s="198">
        <v>0</v>
      </c>
      <c r="L70" s="192">
        <v>3933</v>
      </c>
      <c r="M70" s="192">
        <v>0</v>
      </c>
      <c r="N70" s="192">
        <v>0</v>
      </c>
      <c r="O70" s="192">
        <v>0</v>
      </c>
      <c r="P70" s="195">
        <v>4910</v>
      </c>
      <c r="Q70" s="194">
        <v>351</v>
      </c>
      <c r="R70" s="192">
        <v>0</v>
      </c>
      <c r="S70" s="192">
        <v>217</v>
      </c>
      <c r="T70" s="192">
        <v>0</v>
      </c>
      <c r="U70" s="192">
        <v>0</v>
      </c>
      <c r="V70" s="195">
        <v>568</v>
      </c>
      <c r="W70" s="196">
        <v>5478</v>
      </c>
      <c r="X70" s="197">
        <v>7658</v>
      </c>
      <c r="Y70" s="192"/>
      <c r="Z70" s="192"/>
      <c r="AA70" s="193">
        <v>0</v>
      </c>
      <c r="AB70" s="200"/>
      <c r="AC70" s="198"/>
      <c r="AD70" s="198"/>
      <c r="AE70" s="201"/>
      <c r="AF70" s="201"/>
      <c r="AG70" s="196">
        <v>81334</v>
      </c>
      <c r="AH70" s="197">
        <v>17329</v>
      </c>
      <c r="AI70" s="197">
        <v>1304</v>
      </c>
      <c r="AJ70" s="191">
        <v>0</v>
      </c>
      <c r="AK70" s="194">
        <v>49898</v>
      </c>
      <c r="AL70" s="198">
        <v>0</v>
      </c>
      <c r="AM70" s="198">
        <v>0</v>
      </c>
      <c r="AN70" s="192">
        <v>0</v>
      </c>
      <c r="AO70" s="192">
        <v>0</v>
      </c>
      <c r="AP70" s="192">
        <v>0</v>
      </c>
      <c r="AQ70" s="192"/>
      <c r="AR70" s="196">
        <v>49898</v>
      </c>
      <c r="AS70" s="205">
        <v>163001</v>
      </c>
    </row>
    <row r="71" spans="1:45" x14ac:dyDescent="0.3">
      <c r="A71" s="190" t="s">
        <v>78</v>
      </c>
      <c r="B71" s="241" t="s">
        <v>292</v>
      </c>
      <c r="C71" s="191">
        <v>0</v>
      </c>
      <c r="D71" s="192">
        <v>0</v>
      </c>
      <c r="E71" s="193">
        <v>0</v>
      </c>
      <c r="F71" s="200"/>
      <c r="G71" s="198"/>
      <c r="H71" s="192">
        <v>241</v>
      </c>
      <c r="I71" s="192">
        <v>0</v>
      </c>
      <c r="J71" s="192">
        <v>0</v>
      </c>
      <c r="K71" s="198">
        <v>0</v>
      </c>
      <c r="L71" s="192">
        <v>51</v>
      </c>
      <c r="M71" s="192">
        <v>0</v>
      </c>
      <c r="N71" s="192">
        <v>0</v>
      </c>
      <c r="O71" s="192">
        <v>0</v>
      </c>
      <c r="P71" s="195">
        <v>292</v>
      </c>
      <c r="Q71" s="194">
        <v>1801</v>
      </c>
      <c r="R71" s="192">
        <v>0</v>
      </c>
      <c r="S71" s="192">
        <v>546</v>
      </c>
      <c r="T71" s="192">
        <v>1</v>
      </c>
      <c r="U71" s="192">
        <v>0</v>
      </c>
      <c r="V71" s="195">
        <v>2348</v>
      </c>
      <c r="W71" s="196">
        <v>2640</v>
      </c>
      <c r="X71" s="197">
        <v>7882</v>
      </c>
      <c r="Y71" s="192"/>
      <c r="Z71" s="192"/>
      <c r="AA71" s="193">
        <v>0</v>
      </c>
      <c r="AB71" s="200"/>
      <c r="AC71" s="198"/>
      <c r="AD71" s="198"/>
      <c r="AE71" s="201"/>
      <c r="AF71" s="201"/>
      <c r="AG71" s="196">
        <v>27466</v>
      </c>
      <c r="AH71" s="197">
        <v>0</v>
      </c>
      <c r="AI71" s="197">
        <v>0</v>
      </c>
      <c r="AJ71" s="191">
        <v>0</v>
      </c>
      <c r="AK71" s="194">
        <v>0</v>
      </c>
      <c r="AL71" s="198">
        <v>0</v>
      </c>
      <c r="AM71" s="198">
        <v>0</v>
      </c>
      <c r="AN71" s="192">
        <v>0</v>
      </c>
      <c r="AO71" s="192">
        <v>0</v>
      </c>
      <c r="AP71" s="192">
        <v>0</v>
      </c>
      <c r="AQ71" s="192"/>
      <c r="AR71" s="196">
        <v>0</v>
      </c>
      <c r="AS71" s="205">
        <v>37988</v>
      </c>
    </row>
    <row r="72" spans="1:45" x14ac:dyDescent="0.3">
      <c r="A72" s="190" t="s">
        <v>79</v>
      </c>
      <c r="B72" s="241" t="s">
        <v>293</v>
      </c>
      <c r="C72" s="191">
        <v>8</v>
      </c>
      <c r="D72" s="192">
        <v>12</v>
      </c>
      <c r="E72" s="193">
        <v>20</v>
      </c>
      <c r="F72" s="200"/>
      <c r="G72" s="198"/>
      <c r="H72" s="192">
        <v>13141</v>
      </c>
      <c r="I72" s="192">
        <v>1260</v>
      </c>
      <c r="J72" s="192">
        <v>1</v>
      </c>
      <c r="K72" s="198">
        <v>0</v>
      </c>
      <c r="L72" s="192">
        <v>6895</v>
      </c>
      <c r="M72" s="192">
        <v>1</v>
      </c>
      <c r="N72" s="192">
        <v>0</v>
      </c>
      <c r="O72" s="192">
        <v>0</v>
      </c>
      <c r="P72" s="195">
        <v>21298</v>
      </c>
      <c r="Q72" s="194">
        <v>1881</v>
      </c>
      <c r="R72" s="192">
        <v>0</v>
      </c>
      <c r="S72" s="192">
        <v>0</v>
      </c>
      <c r="T72" s="192">
        <v>99</v>
      </c>
      <c r="U72" s="192">
        <v>0</v>
      </c>
      <c r="V72" s="195">
        <v>1980</v>
      </c>
      <c r="W72" s="196">
        <v>23278</v>
      </c>
      <c r="X72" s="197">
        <v>53751</v>
      </c>
      <c r="Y72" s="192"/>
      <c r="Z72" s="192"/>
      <c r="AA72" s="193">
        <v>0</v>
      </c>
      <c r="AB72" s="200"/>
      <c r="AC72" s="198"/>
      <c r="AD72" s="198"/>
      <c r="AE72" s="201"/>
      <c r="AF72" s="201"/>
      <c r="AG72" s="196">
        <v>170661</v>
      </c>
      <c r="AH72" s="197">
        <v>0</v>
      </c>
      <c r="AI72" s="197">
        <v>0</v>
      </c>
      <c r="AJ72" s="191">
        <v>0</v>
      </c>
      <c r="AK72" s="194">
        <v>243</v>
      </c>
      <c r="AL72" s="198">
        <v>0</v>
      </c>
      <c r="AM72" s="198">
        <v>0</v>
      </c>
      <c r="AN72" s="192">
        <v>0</v>
      </c>
      <c r="AO72" s="192">
        <v>0</v>
      </c>
      <c r="AP72" s="192">
        <v>0</v>
      </c>
      <c r="AQ72" s="192"/>
      <c r="AR72" s="196">
        <v>243</v>
      </c>
      <c r="AS72" s="205">
        <v>247953</v>
      </c>
    </row>
    <row r="73" spans="1:45" x14ac:dyDescent="0.3">
      <c r="A73" s="209" t="s">
        <v>80</v>
      </c>
      <c r="B73" s="244" t="s">
        <v>294</v>
      </c>
      <c r="C73" s="210">
        <v>95</v>
      </c>
      <c r="D73" s="211">
        <v>39</v>
      </c>
      <c r="E73" s="212">
        <v>134</v>
      </c>
      <c r="F73" s="217"/>
      <c r="G73" s="218"/>
      <c r="H73" s="192">
        <v>2993</v>
      </c>
      <c r="I73" s="192">
        <v>0</v>
      </c>
      <c r="J73" s="192">
        <v>0</v>
      </c>
      <c r="K73" s="218">
        <v>0</v>
      </c>
      <c r="L73" s="192">
        <v>102</v>
      </c>
      <c r="M73" s="192">
        <v>849</v>
      </c>
      <c r="N73" s="192">
        <v>0</v>
      </c>
      <c r="O73" s="192">
        <v>0</v>
      </c>
      <c r="P73" s="214">
        <v>3944</v>
      </c>
      <c r="Q73" s="213">
        <v>391</v>
      </c>
      <c r="R73" s="192">
        <v>0</v>
      </c>
      <c r="S73" s="211">
        <v>48</v>
      </c>
      <c r="T73" s="211">
        <v>0</v>
      </c>
      <c r="U73" s="211">
        <v>0</v>
      </c>
      <c r="V73" s="214">
        <v>439</v>
      </c>
      <c r="W73" s="215">
        <v>4383</v>
      </c>
      <c r="X73" s="216">
        <v>14136</v>
      </c>
      <c r="Y73" s="211"/>
      <c r="Z73" s="211"/>
      <c r="AA73" s="212">
        <v>0</v>
      </c>
      <c r="AB73" s="217"/>
      <c r="AC73" s="218"/>
      <c r="AD73" s="218"/>
      <c r="AE73" s="219"/>
      <c r="AF73" s="219"/>
      <c r="AG73" s="215">
        <v>53085</v>
      </c>
      <c r="AH73" s="216">
        <v>1515</v>
      </c>
      <c r="AI73" s="216">
        <v>2074</v>
      </c>
      <c r="AJ73" s="191">
        <v>0</v>
      </c>
      <c r="AK73" s="194">
        <v>798</v>
      </c>
      <c r="AL73" s="218">
        <v>0</v>
      </c>
      <c r="AM73" s="218">
        <v>0</v>
      </c>
      <c r="AN73" s="211">
        <v>0</v>
      </c>
      <c r="AO73" s="211">
        <v>0</v>
      </c>
      <c r="AP73" s="211">
        <v>0</v>
      </c>
      <c r="AQ73" s="211"/>
      <c r="AR73" s="215">
        <v>798</v>
      </c>
      <c r="AS73" s="220">
        <v>76125</v>
      </c>
    </row>
    <row r="74" spans="1:45" x14ac:dyDescent="0.3">
      <c r="A74" s="68" t="s">
        <v>99</v>
      </c>
      <c r="B74" s="242" t="s">
        <v>295</v>
      </c>
      <c r="C74" s="69">
        <v>0</v>
      </c>
      <c r="D74" s="70">
        <v>0</v>
      </c>
      <c r="E74" s="71">
        <v>0</v>
      </c>
      <c r="F74" s="100"/>
      <c r="G74" s="97"/>
      <c r="H74" s="70">
        <v>9900</v>
      </c>
      <c r="I74" s="70">
        <v>0</v>
      </c>
      <c r="J74" s="70">
        <v>1</v>
      </c>
      <c r="K74" s="97">
        <v>0</v>
      </c>
      <c r="L74" s="70">
        <v>70309</v>
      </c>
      <c r="M74" s="70">
        <v>20827</v>
      </c>
      <c r="N74" s="70">
        <v>0</v>
      </c>
      <c r="O74" s="70">
        <v>0</v>
      </c>
      <c r="P74" s="73">
        <v>101037</v>
      </c>
      <c r="Q74" s="72">
        <v>940</v>
      </c>
      <c r="R74" s="70">
        <v>165102</v>
      </c>
      <c r="S74" s="70">
        <v>0</v>
      </c>
      <c r="T74" s="70">
        <v>72</v>
      </c>
      <c r="U74" s="70">
        <v>0</v>
      </c>
      <c r="V74" s="73">
        <v>166114</v>
      </c>
      <c r="W74" s="74">
        <v>267151</v>
      </c>
      <c r="X74" s="75">
        <v>23053</v>
      </c>
      <c r="Y74" s="70"/>
      <c r="Z74" s="70"/>
      <c r="AA74" s="76">
        <v>0</v>
      </c>
      <c r="AB74" s="100"/>
      <c r="AC74" s="97"/>
      <c r="AD74" s="97"/>
      <c r="AE74" s="77"/>
      <c r="AF74" s="77"/>
      <c r="AG74" s="101">
        <v>33416</v>
      </c>
      <c r="AH74" s="79"/>
      <c r="AI74" s="79">
        <v>0</v>
      </c>
      <c r="AJ74" s="118">
        <v>0</v>
      </c>
      <c r="AK74" s="72">
        <v>84</v>
      </c>
      <c r="AL74" s="97">
        <v>0</v>
      </c>
      <c r="AM74" s="97">
        <v>0</v>
      </c>
      <c r="AN74" s="70">
        <v>0</v>
      </c>
      <c r="AO74" s="70">
        <v>0</v>
      </c>
      <c r="AP74" s="70">
        <v>0</v>
      </c>
      <c r="AQ74" s="70"/>
      <c r="AR74" s="74">
        <v>84</v>
      </c>
      <c r="AS74" s="80">
        <v>323704</v>
      </c>
    </row>
    <row r="75" spans="1:45" x14ac:dyDescent="0.3">
      <c r="A75" s="104" t="s">
        <v>100</v>
      </c>
      <c r="B75" s="246" t="s">
        <v>296</v>
      </c>
      <c r="C75" s="105"/>
      <c r="D75" s="106"/>
      <c r="E75" s="107">
        <v>0</v>
      </c>
      <c r="F75" s="108">
        <v>0</v>
      </c>
      <c r="G75" s="109">
        <v>0</v>
      </c>
      <c r="H75" s="106">
        <v>46737</v>
      </c>
      <c r="I75" s="106">
        <v>1238758</v>
      </c>
      <c r="J75" s="106">
        <v>5</v>
      </c>
      <c r="K75" s="106">
        <v>169335</v>
      </c>
      <c r="L75" s="106">
        <v>4601454</v>
      </c>
      <c r="M75" s="106">
        <v>65373</v>
      </c>
      <c r="N75" s="106">
        <v>0</v>
      </c>
      <c r="O75" s="174">
        <v>0</v>
      </c>
      <c r="P75" s="110">
        <v>6121662</v>
      </c>
      <c r="Q75" s="111">
        <v>31135</v>
      </c>
      <c r="R75" s="106">
        <v>0</v>
      </c>
      <c r="S75" s="106">
        <v>0</v>
      </c>
      <c r="T75" s="106">
        <v>0</v>
      </c>
      <c r="U75" s="106">
        <v>0</v>
      </c>
      <c r="V75" s="175">
        <v>31135</v>
      </c>
      <c r="W75" s="112">
        <v>6152797</v>
      </c>
      <c r="X75" s="113">
        <v>34100</v>
      </c>
      <c r="Y75" s="106">
        <v>0</v>
      </c>
      <c r="Z75" s="106">
        <v>0</v>
      </c>
      <c r="AA75" s="114">
        <v>0</v>
      </c>
      <c r="AB75" s="108">
        <v>0</v>
      </c>
      <c r="AC75" s="109">
        <v>0</v>
      </c>
      <c r="AD75" s="109">
        <v>0</v>
      </c>
      <c r="AE75" s="115">
        <v>0</v>
      </c>
      <c r="AF75" s="115">
        <v>0</v>
      </c>
      <c r="AG75" s="119">
        <v>49451</v>
      </c>
      <c r="AH75" s="202">
        <v>0</v>
      </c>
      <c r="AI75" s="120">
        <v>0</v>
      </c>
      <c r="AJ75" s="121">
        <v>0</v>
      </c>
      <c r="AK75" s="111">
        <v>0</v>
      </c>
      <c r="AL75" s="109">
        <v>0</v>
      </c>
      <c r="AM75" s="109">
        <v>0</v>
      </c>
      <c r="AN75" s="106">
        <v>0</v>
      </c>
      <c r="AO75" s="106">
        <v>0</v>
      </c>
      <c r="AP75" s="106">
        <v>738</v>
      </c>
      <c r="AQ75" s="106"/>
      <c r="AR75" s="112">
        <v>738</v>
      </c>
      <c r="AS75" s="117">
        <v>6237086</v>
      </c>
    </row>
    <row r="76" spans="1:45" x14ac:dyDescent="0.3">
      <c r="A76" s="190" t="s">
        <v>101</v>
      </c>
      <c r="B76" s="241" t="s">
        <v>297</v>
      </c>
      <c r="C76" s="191"/>
      <c r="D76" s="192"/>
      <c r="E76" s="193">
        <v>0</v>
      </c>
      <c r="F76" s="200"/>
      <c r="G76" s="198"/>
      <c r="H76" s="192">
        <v>0</v>
      </c>
      <c r="I76" s="192">
        <v>1509</v>
      </c>
      <c r="J76" s="192">
        <v>0</v>
      </c>
      <c r="K76" s="192">
        <v>169335</v>
      </c>
      <c r="L76" s="192">
        <v>0</v>
      </c>
      <c r="M76" s="192">
        <v>0</v>
      </c>
      <c r="N76" s="192">
        <v>0</v>
      </c>
      <c r="O76" s="192">
        <v>0</v>
      </c>
      <c r="P76" s="195">
        <v>170844</v>
      </c>
      <c r="Q76" s="194">
        <v>70</v>
      </c>
      <c r="R76" s="192">
        <v>0</v>
      </c>
      <c r="S76" s="192">
        <v>0</v>
      </c>
      <c r="T76" s="192">
        <v>0</v>
      </c>
      <c r="U76" s="192">
        <v>0</v>
      </c>
      <c r="V76" s="195">
        <v>70</v>
      </c>
      <c r="W76" s="196">
        <v>170914</v>
      </c>
      <c r="X76" s="197">
        <v>0</v>
      </c>
      <c r="Y76" s="192"/>
      <c r="Z76" s="192"/>
      <c r="AA76" s="193">
        <v>0</v>
      </c>
      <c r="AB76" s="200"/>
      <c r="AC76" s="198"/>
      <c r="AD76" s="198"/>
      <c r="AE76" s="201"/>
      <c r="AF76" s="201"/>
      <c r="AG76" s="206"/>
      <c r="AH76" s="202"/>
      <c r="AI76" s="223">
        <v>0</v>
      </c>
      <c r="AJ76" s="225">
        <v>0</v>
      </c>
      <c r="AK76" s="194">
        <v>0</v>
      </c>
      <c r="AL76" s="198">
        <v>0</v>
      </c>
      <c r="AM76" s="198">
        <v>0</v>
      </c>
      <c r="AN76" s="192">
        <v>0</v>
      </c>
      <c r="AO76" s="192">
        <v>0</v>
      </c>
      <c r="AP76" s="192">
        <v>0</v>
      </c>
      <c r="AQ76" s="192"/>
      <c r="AR76" s="196">
        <v>0</v>
      </c>
      <c r="AS76" s="205">
        <v>170914</v>
      </c>
    </row>
    <row r="77" spans="1:45" x14ac:dyDescent="0.3">
      <c r="A77" s="190" t="s">
        <v>102</v>
      </c>
      <c r="B77" s="241" t="s">
        <v>298</v>
      </c>
      <c r="C77" s="191"/>
      <c r="D77" s="192"/>
      <c r="E77" s="193">
        <v>0</v>
      </c>
      <c r="F77" s="200"/>
      <c r="G77" s="198"/>
      <c r="H77" s="192">
        <v>0</v>
      </c>
      <c r="I77" s="192">
        <v>0</v>
      </c>
      <c r="J77" s="192">
        <v>0</v>
      </c>
      <c r="K77" s="198">
        <v>0</v>
      </c>
      <c r="L77" s="192">
        <v>40263</v>
      </c>
      <c r="M77" s="192">
        <v>65373</v>
      </c>
      <c r="N77" s="192">
        <v>0</v>
      </c>
      <c r="O77" s="192">
        <v>0</v>
      </c>
      <c r="P77" s="195">
        <v>105636</v>
      </c>
      <c r="Q77" s="194">
        <v>244</v>
      </c>
      <c r="R77" s="192">
        <v>0</v>
      </c>
      <c r="S77" s="192">
        <v>0</v>
      </c>
      <c r="T77" s="192">
        <v>0</v>
      </c>
      <c r="U77" s="192">
        <v>0</v>
      </c>
      <c r="V77" s="195">
        <v>244</v>
      </c>
      <c r="W77" s="196">
        <v>105880</v>
      </c>
      <c r="X77" s="197">
        <v>0</v>
      </c>
      <c r="Y77" s="192"/>
      <c r="Z77" s="192"/>
      <c r="AA77" s="193">
        <v>0</v>
      </c>
      <c r="AB77" s="200"/>
      <c r="AC77" s="198"/>
      <c r="AD77" s="198"/>
      <c r="AE77" s="201"/>
      <c r="AF77" s="201"/>
      <c r="AG77" s="206"/>
      <c r="AH77" s="202"/>
      <c r="AI77" s="223">
        <v>0</v>
      </c>
      <c r="AJ77" s="225">
        <v>0</v>
      </c>
      <c r="AK77" s="194">
        <v>0</v>
      </c>
      <c r="AL77" s="198">
        <v>0</v>
      </c>
      <c r="AM77" s="198">
        <v>0</v>
      </c>
      <c r="AN77" s="192">
        <v>0</v>
      </c>
      <c r="AO77" s="192">
        <v>0</v>
      </c>
      <c r="AP77" s="192">
        <v>0</v>
      </c>
      <c r="AQ77" s="192"/>
      <c r="AR77" s="196">
        <v>0</v>
      </c>
      <c r="AS77" s="205">
        <v>105880</v>
      </c>
    </row>
    <row r="78" spans="1:45" x14ac:dyDescent="0.3">
      <c r="A78" s="190" t="s">
        <v>103</v>
      </c>
      <c r="B78" s="241" t="s">
        <v>299</v>
      </c>
      <c r="C78" s="191"/>
      <c r="D78" s="192"/>
      <c r="E78" s="193">
        <v>0</v>
      </c>
      <c r="F78" s="200"/>
      <c r="G78" s="198"/>
      <c r="H78" s="192">
        <v>0</v>
      </c>
      <c r="I78" s="192">
        <v>0</v>
      </c>
      <c r="J78" s="192">
        <v>0</v>
      </c>
      <c r="K78" s="198">
        <v>0</v>
      </c>
      <c r="L78" s="192">
        <v>8168</v>
      </c>
      <c r="M78" s="192">
        <v>0</v>
      </c>
      <c r="N78" s="192">
        <v>0</v>
      </c>
      <c r="O78" s="192">
        <v>0</v>
      </c>
      <c r="P78" s="195">
        <v>8168</v>
      </c>
      <c r="Q78" s="194">
        <v>26</v>
      </c>
      <c r="R78" s="192">
        <v>0</v>
      </c>
      <c r="S78" s="192">
        <v>0</v>
      </c>
      <c r="T78" s="192">
        <v>0</v>
      </c>
      <c r="U78" s="192">
        <v>0</v>
      </c>
      <c r="V78" s="195">
        <v>26</v>
      </c>
      <c r="W78" s="196">
        <v>8194</v>
      </c>
      <c r="X78" s="197">
        <v>0</v>
      </c>
      <c r="Y78" s="192"/>
      <c r="Z78" s="192"/>
      <c r="AA78" s="193">
        <v>0</v>
      </c>
      <c r="AB78" s="200"/>
      <c r="AC78" s="198"/>
      <c r="AD78" s="198"/>
      <c r="AE78" s="201"/>
      <c r="AF78" s="201"/>
      <c r="AG78" s="196">
        <v>41752</v>
      </c>
      <c r="AH78" s="202"/>
      <c r="AI78" s="223">
        <v>0</v>
      </c>
      <c r="AJ78" s="225">
        <v>0</v>
      </c>
      <c r="AK78" s="194">
        <v>0</v>
      </c>
      <c r="AL78" s="198">
        <v>0</v>
      </c>
      <c r="AM78" s="198">
        <v>0</v>
      </c>
      <c r="AN78" s="192">
        <v>0</v>
      </c>
      <c r="AO78" s="192">
        <v>0</v>
      </c>
      <c r="AP78" s="192">
        <v>0</v>
      </c>
      <c r="AQ78" s="192"/>
      <c r="AR78" s="196">
        <v>0</v>
      </c>
      <c r="AS78" s="205">
        <v>49946</v>
      </c>
    </row>
    <row r="79" spans="1:45" x14ac:dyDescent="0.3">
      <c r="A79" s="209" t="s">
        <v>104</v>
      </c>
      <c r="B79" s="244" t="s">
        <v>300</v>
      </c>
      <c r="C79" s="210"/>
      <c r="D79" s="211"/>
      <c r="E79" s="212">
        <v>0</v>
      </c>
      <c r="F79" s="217"/>
      <c r="G79" s="218"/>
      <c r="H79" s="211">
        <v>46737</v>
      </c>
      <c r="I79" s="211">
        <v>1237249</v>
      </c>
      <c r="J79" s="211">
        <v>5</v>
      </c>
      <c r="K79" s="218">
        <v>0</v>
      </c>
      <c r="L79" s="211">
        <v>4553023</v>
      </c>
      <c r="M79" s="211">
        <v>0</v>
      </c>
      <c r="N79" s="211">
        <v>0</v>
      </c>
      <c r="O79" s="211">
        <v>0</v>
      </c>
      <c r="P79" s="214">
        <v>5837014</v>
      </c>
      <c r="Q79" s="213">
        <v>30795</v>
      </c>
      <c r="R79" s="211">
        <v>0</v>
      </c>
      <c r="S79" s="211">
        <v>0</v>
      </c>
      <c r="T79" s="211">
        <v>0</v>
      </c>
      <c r="U79" s="211">
        <v>0</v>
      </c>
      <c r="V79" s="214">
        <v>30795</v>
      </c>
      <c r="W79" s="215">
        <v>5867809</v>
      </c>
      <c r="X79" s="216">
        <v>34100</v>
      </c>
      <c r="Y79" s="211"/>
      <c r="Z79" s="211"/>
      <c r="AA79" s="212">
        <v>0</v>
      </c>
      <c r="AB79" s="217"/>
      <c r="AC79" s="218"/>
      <c r="AD79" s="218"/>
      <c r="AE79" s="219"/>
      <c r="AF79" s="219"/>
      <c r="AG79" s="215">
        <v>7699</v>
      </c>
      <c r="AH79" s="202"/>
      <c r="AI79" s="226">
        <v>0</v>
      </c>
      <c r="AJ79" s="227">
        <v>0</v>
      </c>
      <c r="AK79" s="213">
        <v>0</v>
      </c>
      <c r="AL79" s="218">
        <v>0</v>
      </c>
      <c r="AM79" s="218">
        <v>0</v>
      </c>
      <c r="AN79" s="211">
        <v>0</v>
      </c>
      <c r="AO79" s="211">
        <v>0</v>
      </c>
      <c r="AP79" s="211">
        <v>738</v>
      </c>
      <c r="AQ79" s="211"/>
      <c r="AR79" s="215">
        <v>738</v>
      </c>
      <c r="AS79" s="220">
        <v>5910346</v>
      </c>
    </row>
    <row r="80" spans="1:45" x14ac:dyDescent="0.3">
      <c r="A80" s="68" t="s">
        <v>105</v>
      </c>
      <c r="B80" s="242" t="s">
        <v>301</v>
      </c>
      <c r="C80" s="69"/>
      <c r="D80" s="70"/>
      <c r="E80" s="71">
        <v>0</v>
      </c>
      <c r="F80" s="100"/>
      <c r="G80" s="97"/>
      <c r="H80" s="70">
        <v>234966</v>
      </c>
      <c r="I80" s="70">
        <v>0</v>
      </c>
      <c r="J80" s="70">
        <v>15</v>
      </c>
      <c r="K80" s="97">
        <v>0</v>
      </c>
      <c r="L80" s="70">
        <v>23355</v>
      </c>
      <c r="M80" s="70">
        <v>0</v>
      </c>
      <c r="N80" s="70">
        <v>0</v>
      </c>
      <c r="O80" s="70">
        <v>0</v>
      </c>
      <c r="P80" s="73">
        <v>258336</v>
      </c>
      <c r="Q80" s="72">
        <v>2</v>
      </c>
      <c r="R80" s="70">
        <v>0</v>
      </c>
      <c r="S80" s="70">
        <v>0</v>
      </c>
      <c r="T80" s="70">
        <v>0</v>
      </c>
      <c r="U80" s="70">
        <v>0</v>
      </c>
      <c r="V80" s="73">
        <v>2</v>
      </c>
      <c r="W80" s="74">
        <v>258338</v>
      </c>
      <c r="X80" s="75">
        <v>251654</v>
      </c>
      <c r="Y80" s="70"/>
      <c r="Z80" s="70"/>
      <c r="AA80" s="76">
        <v>0</v>
      </c>
      <c r="AB80" s="100"/>
      <c r="AC80" s="97"/>
      <c r="AD80" s="97"/>
      <c r="AE80" s="77"/>
      <c r="AF80" s="77"/>
      <c r="AG80" s="74">
        <v>1254009</v>
      </c>
      <c r="AH80" s="79"/>
      <c r="AI80" s="122">
        <v>0</v>
      </c>
      <c r="AJ80" s="105">
        <v>68337</v>
      </c>
      <c r="AK80" s="194">
        <v>801082</v>
      </c>
      <c r="AL80" s="97">
        <v>0</v>
      </c>
      <c r="AM80" s="97">
        <v>0</v>
      </c>
      <c r="AN80" s="70">
        <v>0</v>
      </c>
      <c r="AO80" s="70">
        <v>293</v>
      </c>
      <c r="AP80" s="70">
        <v>0</v>
      </c>
      <c r="AQ80" s="70">
        <v>308979</v>
      </c>
      <c r="AR80" s="74">
        <v>1178691</v>
      </c>
      <c r="AS80" s="80">
        <v>2942692</v>
      </c>
    </row>
    <row r="81" spans="1:45" ht="13.8" thickBot="1" x14ac:dyDescent="0.35">
      <c r="A81" s="123" t="s">
        <v>106</v>
      </c>
      <c r="B81" s="247" t="s">
        <v>302</v>
      </c>
      <c r="C81" s="124">
        <v>0</v>
      </c>
      <c r="D81" s="125">
        <v>0</v>
      </c>
      <c r="E81" s="126">
        <v>0</v>
      </c>
      <c r="F81" s="127"/>
      <c r="G81" s="128"/>
      <c r="H81" s="125">
        <v>138279</v>
      </c>
      <c r="I81" s="125">
        <v>193</v>
      </c>
      <c r="J81" s="125">
        <v>26</v>
      </c>
      <c r="K81" s="125">
        <v>16933</v>
      </c>
      <c r="L81" s="125">
        <v>49396</v>
      </c>
      <c r="M81" s="125">
        <v>8688</v>
      </c>
      <c r="N81" s="125">
        <v>0</v>
      </c>
      <c r="O81" s="125">
        <v>0</v>
      </c>
      <c r="P81" s="129">
        <v>213515</v>
      </c>
      <c r="Q81" s="130">
        <v>401</v>
      </c>
      <c r="R81" s="125">
        <v>0</v>
      </c>
      <c r="S81" s="125">
        <v>0</v>
      </c>
      <c r="T81" s="125">
        <v>350</v>
      </c>
      <c r="U81" s="125">
        <v>0</v>
      </c>
      <c r="V81" s="129">
        <v>751</v>
      </c>
      <c r="W81" s="131">
        <v>214266</v>
      </c>
      <c r="X81" s="132">
        <v>213874</v>
      </c>
      <c r="Y81" s="125"/>
      <c r="Z81" s="125"/>
      <c r="AA81" s="133">
        <v>0</v>
      </c>
      <c r="AB81" s="127"/>
      <c r="AC81" s="128"/>
      <c r="AD81" s="128"/>
      <c r="AE81" s="134"/>
      <c r="AF81" s="134"/>
      <c r="AG81" s="131">
        <v>1410056</v>
      </c>
      <c r="AH81" s="132">
        <v>13029</v>
      </c>
      <c r="AI81" s="135">
        <v>0</v>
      </c>
      <c r="AJ81" s="124">
        <v>46544</v>
      </c>
      <c r="AK81" s="130">
        <v>27319</v>
      </c>
      <c r="AL81" s="128">
        <v>0</v>
      </c>
      <c r="AM81" s="128">
        <v>0</v>
      </c>
      <c r="AN81" s="125">
        <v>1898</v>
      </c>
      <c r="AO81" s="125">
        <v>0</v>
      </c>
      <c r="AP81" s="125">
        <v>0</v>
      </c>
      <c r="AQ81" s="125">
        <v>566316</v>
      </c>
      <c r="AR81" s="131">
        <v>642077</v>
      </c>
      <c r="AS81" s="136">
        <v>2493302</v>
      </c>
    </row>
    <row r="82" spans="1:45" ht="14.4" thickTop="1" thickBot="1" x14ac:dyDescent="0.35">
      <c r="A82" s="137"/>
      <c r="B82" s="248"/>
      <c r="C82" s="137"/>
      <c r="D82" s="137"/>
      <c r="E82" s="137"/>
      <c r="F82" s="137"/>
      <c r="G82" s="137"/>
      <c r="H82" s="137"/>
      <c r="I82" s="138"/>
      <c r="J82" s="137"/>
      <c r="K82" s="137"/>
      <c r="L82" s="137"/>
      <c r="M82" s="137"/>
      <c r="N82" s="137"/>
      <c r="O82" s="139"/>
      <c r="P82" s="138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</row>
    <row r="83" spans="1:45" ht="13.8" thickTop="1" x14ac:dyDescent="0.3">
      <c r="A83" s="249" t="s">
        <v>321</v>
      </c>
      <c r="B83" s="250"/>
      <c r="C83" s="282">
        <v>0</v>
      </c>
      <c r="D83" s="283">
        <v>0</v>
      </c>
      <c r="E83" s="284">
        <v>0</v>
      </c>
      <c r="F83" s="285">
        <v>0</v>
      </c>
      <c r="G83" s="283">
        <v>55</v>
      </c>
      <c r="H83" s="283">
        <v>0</v>
      </c>
      <c r="I83" s="283">
        <v>0</v>
      </c>
      <c r="J83" s="283">
        <v>0</v>
      </c>
      <c r="K83" s="283">
        <v>0</v>
      </c>
      <c r="L83" s="283">
        <v>66</v>
      </c>
      <c r="M83" s="283">
        <v>1090</v>
      </c>
      <c r="N83" s="283">
        <v>0</v>
      </c>
      <c r="O83" s="283">
        <v>0</v>
      </c>
      <c r="P83" s="286">
        <v>1211</v>
      </c>
      <c r="Q83" s="285">
        <v>0</v>
      </c>
      <c r="R83" s="283">
        <v>0</v>
      </c>
      <c r="S83" s="283">
        <v>0</v>
      </c>
      <c r="T83" s="283">
        <v>0</v>
      </c>
      <c r="U83" s="283">
        <v>0</v>
      </c>
      <c r="V83" s="287">
        <v>0</v>
      </c>
      <c r="W83" s="288">
        <v>1211</v>
      </c>
      <c r="X83" s="289">
        <v>10416</v>
      </c>
      <c r="Y83" s="285">
        <v>26</v>
      </c>
      <c r="Z83" s="283">
        <v>0</v>
      </c>
      <c r="AA83" s="284">
        <v>26</v>
      </c>
      <c r="AB83" s="285">
        <v>14868</v>
      </c>
      <c r="AC83" s="283">
        <v>13145</v>
      </c>
      <c r="AD83" s="283">
        <v>5160</v>
      </c>
      <c r="AE83" s="283">
        <v>208</v>
      </c>
      <c r="AF83" s="287">
        <v>0</v>
      </c>
      <c r="AG83" s="288">
        <v>33381</v>
      </c>
      <c r="AH83" s="289">
        <v>0</v>
      </c>
      <c r="AI83" s="289">
        <v>209</v>
      </c>
      <c r="AJ83" s="285">
        <v>0</v>
      </c>
      <c r="AK83" s="283">
        <v>2037</v>
      </c>
      <c r="AL83" s="283">
        <v>275</v>
      </c>
      <c r="AM83" s="283">
        <v>1248</v>
      </c>
      <c r="AN83" s="283">
        <v>0</v>
      </c>
      <c r="AO83" s="283">
        <v>240</v>
      </c>
      <c r="AP83" s="283">
        <v>0</v>
      </c>
      <c r="AQ83" s="287">
        <v>0</v>
      </c>
      <c r="AR83" s="288">
        <v>3800</v>
      </c>
      <c r="AS83" s="290">
        <v>49043</v>
      </c>
    </row>
    <row r="84" spans="1:45" x14ac:dyDescent="0.3">
      <c r="A84" s="251" t="s">
        <v>322</v>
      </c>
      <c r="B84" s="252"/>
      <c r="C84" s="273"/>
      <c r="D84" s="274"/>
      <c r="E84" s="275">
        <v>0</v>
      </c>
      <c r="F84" s="276"/>
      <c r="G84" s="274"/>
      <c r="H84" s="274"/>
      <c r="I84" s="274"/>
      <c r="J84" s="274"/>
      <c r="K84" s="274"/>
      <c r="L84" s="274">
        <v>64</v>
      </c>
      <c r="M84" s="274">
        <v>845</v>
      </c>
      <c r="N84" s="274"/>
      <c r="O84" s="274"/>
      <c r="P84" s="277">
        <v>909</v>
      </c>
      <c r="Q84" s="276"/>
      <c r="R84" s="274"/>
      <c r="S84" s="274"/>
      <c r="T84" s="274"/>
      <c r="U84" s="274"/>
      <c r="V84" s="278"/>
      <c r="W84" s="279">
        <v>909</v>
      </c>
      <c r="X84" s="280">
        <v>8284</v>
      </c>
      <c r="Y84" s="276"/>
      <c r="Z84" s="274"/>
      <c r="AA84" s="275">
        <v>0</v>
      </c>
      <c r="AB84" s="276">
        <v>14868</v>
      </c>
      <c r="AC84" s="274">
        <v>13145</v>
      </c>
      <c r="AD84" s="274">
        <v>5160</v>
      </c>
      <c r="AE84" s="274">
        <v>208</v>
      </c>
      <c r="AF84" s="278"/>
      <c r="AG84" s="279">
        <v>33381</v>
      </c>
      <c r="AH84" s="280"/>
      <c r="AI84" s="280"/>
      <c r="AJ84" s="276"/>
      <c r="AK84" s="274"/>
      <c r="AL84" s="274"/>
      <c r="AM84" s="274"/>
      <c r="AN84" s="274"/>
      <c r="AO84" s="274"/>
      <c r="AP84" s="274"/>
      <c r="AQ84" s="278"/>
      <c r="AR84" s="279">
        <v>0</v>
      </c>
      <c r="AS84" s="281">
        <v>42574</v>
      </c>
    </row>
    <row r="85" spans="1:45" x14ac:dyDescent="0.3">
      <c r="A85" s="251" t="s">
        <v>323</v>
      </c>
      <c r="B85" s="252"/>
      <c r="C85" s="255"/>
      <c r="D85" s="256"/>
      <c r="E85" s="257">
        <v>0</v>
      </c>
      <c r="F85" s="258"/>
      <c r="G85" s="256">
        <v>55</v>
      </c>
      <c r="H85" s="256"/>
      <c r="I85" s="256"/>
      <c r="J85" s="256"/>
      <c r="K85" s="256"/>
      <c r="L85" s="256">
        <v>0</v>
      </c>
      <c r="M85" s="256">
        <v>245</v>
      </c>
      <c r="N85" s="256"/>
      <c r="O85" s="256"/>
      <c r="P85" s="259">
        <v>300</v>
      </c>
      <c r="Q85" s="258"/>
      <c r="R85" s="256"/>
      <c r="S85" s="256"/>
      <c r="T85" s="256"/>
      <c r="U85" s="256"/>
      <c r="V85" s="260"/>
      <c r="W85" s="261">
        <v>300</v>
      </c>
      <c r="X85" s="262">
        <v>2118</v>
      </c>
      <c r="Y85" s="258">
        <v>26</v>
      </c>
      <c r="Z85" s="256"/>
      <c r="AA85" s="257">
        <v>26</v>
      </c>
      <c r="AB85" s="258"/>
      <c r="AC85" s="256"/>
      <c r="AD85" s="256"/>
      <c r="AE85" s="256"/>
      <c r="AF85" s="260"/>
      <c r="AG85" s="261">
        <v>0</v>
      </c>
      <c r="AH85" s="262"/>
      <c r="AI85" s="262">
        <v>7</v>
      </c>
      <c r="AJ85" s="258"/>
      <c r="AK85" s="256">
        <v>648</v>
      </c>
      <c r="AL85" s="256"/>
      <c r="AM85" s="256">
        <v>1248</v>
      </c>
      <c r="AN85" s="256">
        <v>0</v>
      </c>
      <c r="AO85" s="256">
        <v>23</v>
      </c>
      <c r="AP85" s="256"/>
      <c r="AQ85" s="260"/>
      <c r="AR85" s="261">
        <v>1919</v>
      </c>
      <c r="AS85" s="263">
        <v>4370</v>
      </c>
    </row>
    <row r="86" spans="1:45" ht="14.4" thickBot="1" x14ac:dyDescent="0.35">
      <c r="A86" s="253" t="s">
        <v>324</v>
      </c>
      <c r="B86" s="254"/>
      <c r="C86" s="264"/>
      <c r="D86" s="265"/>
      <c r="E86" s="266">
        <v>0</v>
      </c>
      <c r="F86" s="267"/>
      <c r="G86" s="265"/>
      <c r="H86" s="265"/>
      <c r="I86" s="265"/>
      <c r="J86" s="265"/>
      <c r="K86" s="265"/>
      <c r="L86" s="265">
        <v>2</v>
      </c>
      <c r="M86" s="265">
        <v>0</v>
      </c>
      <c r="N86" s="265"/>
      <c r="O86" s="265"/>
      <c r="P86" s="268">
        <v>2</v>
      </c>
      <c r="Q86" s="267"/>
      <c r="R86" s="265"/>
      <c r="S86" s="265"/>
      <c r="T86" s="265"/>
      <c r="U86" s="265"/>
      <c r="V86" s="269"/>
      <c r="W86" s="270">
        <v>2</v>
      </c>
      <c r="X86" s="271">
        <v>14</v>
      </c>
      <c r="Y86" s="267"/>
      <c r="Z86" s="265"/>
      <c r="AA86" s="266">
        <v>0</v>
      </c>
      <c r="AB86" s="267"/>
      <c r="AC86" s="265"/>
      <c r="AD86" s="265"/>
      <c r="AE86" s="265"/>
      <c r="AF86" s="269"/>
      <c r="AG86" s="270">
        <v>0</v>
      </c>
      <c r="AH86" s="271"/>
      <c r="AI86" s="271">
        <v>202</v>
      </c>
      <c r="AJ86" s="267"/>
      <c r="AK86" s="265">
        <v>1389</v>
      </c>
      <c r="AL86" s="265">
        <v>275</v>
      </c>
      <c r="AM86" s="265"/>
      <c r="AN86" s="265"/>
      <c r="AO86" s="265">
        <v>217</v>
      </c>
      <c r="AP86" s="265"/>
      <c r="AQ86" s="269"/>
      <c r="AR86" s="270">
        <v>1881</v>
      </c>
      <c r="AS86" s="272">
        <v>2099</v>
      </c>
    </row>
    <row r="87" spans="1:45" ht="13.8" thickTop="1" x14ac:dyDescent="0.3"/>
    <row r="88" spans="1:45" x14ac:dyDescent="0.3">
      <c r="AS88" s="234">
        <v>45792</v>
      </c>
    </row>
  </sheetData>
  <pageMargins left="0.75" right="0.75" top="0.25" bottom="0.43" header="0.5" footer="0.5"/>
  <pageSetup scale="60" orientation="portrait" r:id="rId1"/>
  <headerFooter alignWithMargins="0"/>
  <ignoredErrors>
    <ignoredError sqref="B7:B8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5"/>
  <sheetViews>
    <sheetView showGridLines="0" topLeftCell="A24" zoomScale="115" zoomScaleNormal="115" workbookViewId="0">
      <selection activeCell="D45" sqref="D45"/>
    </sheetView>
  </sheetViews>
  <sheetFormatPr defaultColWidth="0" defaultRowHeight="10.199999999999999" zeroHeight="1" x14ac:dyDescent="0.2"/>
  <cols>
    <col min="1" max="1" width="33.5546875" style="145" customWidth="1"/>
    <col min="2" max="3" width="14.109375" style="145" customWidth="1"/>
    <col min="4" max="4" width="39.109375" style="145" customWidth="1"/>
    <col min="5" max="5" width="9.109375" style="145" customWidth="1"/>
    <col min="6" max="16384" width="0" style="145" hidden="1"/>
  </cols>
  <sheetData>
    <row r="1" spans="1:5" ht="13.2" x14ac:dyDescent="0.25">
      <c r="A1" s="141"/>
    </row>
    <row r="2" spans="1:5" ht="15.6" x14ac:dyDescent="0.3">
      <c r="A2" s="169" t="s">
        <v>107</v>
      </c>
    </row>
    <row r="3" spans="1:5" ht="13.2" x14ac:dyDescent="0.25">
      <c r="A3" s="168" t="s">
        <v>109</v>
      </c>
    </row>
    <row r="4" spans="1:5" x14ac:dyDescent="0.2"/>
    <row r="5" spans="1:5" x14ac:dyDescent="0.2"/>
    <row r="6" spans="1:5" x14ac:dyDescent="0.2">
      <c r="A6" s="291" t="s">
        <v>346</v>
      </c>
    </row>
    <row r="7" spans="1:5" x14ac:dyDescent="0.2"/>
    <row r="8" spans="1:5" ht="14.25" customHeight="1" x14ac:dyDescent="0.3">
      <c r="A8" s="298" t="s">
        <v>212</v>
      </c>
      <c r="B8" s="297" t="s">
        <v>203</v>
      </c>
      <c r="C8" s="297"/>
      <c r="D8" s="299" t="s">
        <v>211</v>
      </c>
    </row>
    <row r="9" spans="1:5" ht="14.25" customHeight="1" x14ac:dyDescent="0.3">
      <c r="A9" s="298"/>
      <c r="B9" s="165" t="s">
        <v>226</v>
      </c>
      <c r="C9" s="165" t="s">
        <v>225</v>
      </c>
      <c r="D9" s="299"/>
    </row>
    <row r="10" spans="1:5" ht="14.25" customHeight="1" x14ac:dyDescent="0.3">
      <c r="A10" s="167" t="s">
        <v>224</v>
      </c>
      <c r="B10" s="166">
        <v>1.028</v>
      </c>
      <c r="C10" s="162">
        <v>43040</v>
      </c>
      <c r="D10" s="161" t="s">
        <v>213</v>
      </c>
      <c r="E10" s="171"/>
    </row>
    <row r="11" spans="1:5" ht="14.25" customHeight="1" x14ac:dyDescent="0.3">
      <c r="A11" s="167" t="s">
        <v>223</v>
      </c>
      <c r="B11" s="166">
        <v>1.0987</v>
      </c>
      <c r="C11" s="162">
        <v>46000</v>
      </c>
      <c r="D11" s="161" t="s">
        <v>213</v>
      </c>
      <c r="E11" s="171"/>
    </row>
    <row r="12" spans="1:5" ht="14.25" customHeight="1" x14ac:dyDescent="0.3">
      <c r="A12" s="167" t="s">
        <v>334</v>
      </c>
      <c r="B12" s="166">
        <f>C12/4.1868/10000</f>
        <v>1.0387999999999999</v>
      </c>
      <c r="C12" s="162">
        <v>43494</v>
      </c>
      <c r="D12" s="161" t="s">
        <v>336</v>
      </c>
      <c r="E12" s="171"/>
    </row>
    <row r="13" spans="1:5" ht="14.25" customHeight="1" x14ac:dyDescent="0.3">
      <c r="A13" s="167" t="s">
        <v>335</v>
      </c>
      <c r="B13" s="166">
        <v>1.0508999999999999</v>
      </c>
      <c r="C13" s="162">
        <v>44000</v>
      </c>
      <c r="D13" s="161" t="s">
        <v>213</v>
      </c>
      <c r="E13" s="171"/>
    </row>
    <row r="14" spans="1:5" ht="14.25" customHeight="1" x14ac:dyDescent="0.3">
      <c r="A14" s="167" t="s">
        <v>222</v>
      </c>
      <c r="B14" s="166">
        <v>1.0449999999999999</v>
      </c>
      <c r="C14" s="162">
        <v>43806</v>
      </c>
      <c r="D14" s="161" t="s">
        <v>213</v>
      </c>
      <c r="E14" s="171"/>
    </row>
    <row r="15" spans="1:5" ht="14.25" customHeight="1" x14ac:dyDescent="0.3">
      <c r="A15" s="167" t="s">
        <v>9</v>
      </c>
      <c r="B15" s="166">
        <v>1.0269999999999999</v>
      </c>
      <c r="C15" s="162">
        <v>43000</v>
      </c>
      <c r="D15" s="161" t="s">
        <v>213</v>
      </c>
      <c r="E15" s="171"/>
    </row>
    <row r="16" spans="1:5" ht="14.25" customHeight="1" x14ac:dyDescent="0.3">
      <c r="A16" s="167" t="s">
        <v>329</v>
      </c>
      <c r="B16" s="166">
        <f>C16/4.1868/10000</f>
        <v>1.0166999999999999</v>
      </c>
      <c r="C16" s="162">
        <v>42566</v>
      </c>
      <c r="D16" s="161" t="s">
        <v>331</v>
      </c>
      <c r="E16" s="171"/>
    </row>
    <row r="17" spans="1:5" ht="14.25" customHeight="1" x14ac:dyDescent="0.3">
      <c r="A17" s="167" t="s">
        <v>330</v>
      </c>
      <c r="B17" s="166">
        <f>C17/4.1868/10000</f>
        <v>1.0193000000000001</v>
      </c>
      <c r="C17" s="162">
        <v>42677</v>
      </c>
      <c r="D17" s="161" t="s">
        <v>331</v>
      </c>
      <c r="E17" s="171"/>
    </row>
    <row r="18" spans="1:5" ht="14.25" customHeight="1" x14ac:dyDescent="0.3">
      <c r="A18" s="167" t="s">
        <v>332</v>
      </c>
      <c r="B18" s="166">
        <f>C18/4.1868/10000</f>
        <v>1.0269999999999999</v>
      </c>
      <c r="C18" s="162">
        <v>43000</v>
      </c>
      <c r="D18" s="161" t="s">
        <v>213</v>
      </c>
      <c r="E18" s="171"/>
    </row>
    <row r="19" spans="1:5" ht="14.25" customHeight="1" x14ac:dyDescent="0.3">
      <c r="A19" s="167" t="s">
        <v>11</v>
      </c>
      <c r="B19" s="166">
        <v>0.95540000000000003</v>
      </c>
      <c r="C19" s="162">
        <v>40000</v>
      </c>
      <c r="D19" s="161" t="s">
        <v>213</v>
      </c>
      <c r="E19" s="171"/>
    </row>
    <row r="20" spans="1:5" ht="14.25" customHeight="1" x14ac:dyDescent="0.3">
      <c r="A20" s="167" t="s">
        <v>12</v>
      </c>
      <c r="B20" s="166">
        <v>1.0508999999999999</v>
      </c>
      <c r="C20" s="162">
        <v>44000</v>
      </c>
      <c r="D20" s="161" t="s">
        <v>213</v>
      </c>
      <c r="E20" s="171"/>
    </row>
    <row r="21" spans="1:5" ht="14.25" customHeight="1" x14ac:dyDescent="0.3">
      <c r="A21" s="167" t="s">
        <v>13</v>
      </c>
      <c r="B21" s="166">
        <v>0.76400000000000001</v>
      </c>
      <c r="C21" s="162">
        <v>32000</v>
      </c>
      <c r="D21" s="161" t="s">
        <v>213</v>
      </c>
      <c r="E21" s="171"/>
    </row>
    <row r="22" spans="1:5" ht="14.25" customHeight="1" x14ac:dyDescent="0.3">
      <c r="A22" s="167" t="s">
        <v>15</v>
      </c>
      <c r="B22" s="166">
        <v>1.0032000000000001</v>
      </c>
      <c r="C22" s="162">
        <v>42000</v>
      </c>
      <c r="D22" s="161" t="s">
        <v>213</v>
      </c>
      <c r="E22" s="171"/>
    </row>
    <row r="23" spans="1:5" ht="14.25" customHeight="1" x14ac:dyDescent="0.3">
      <c r="A23" s="167" t="s">
        <v>16</v>
      </c>
      <c r="B23" s="166">
        <v>0.93149999999999999</v>
      </c>
      <c r="C23" s="162">
        <v>39000</v>
      </c>
      <c r="D23" s="161" t="s">
        <v>213</v>
      </c>
      <c r="E23" s="171"/>
    </row>
    <row r="24" spans="1:5" ht="14.25" customHeight="1" x14ac:dyDescent="0.3">
      <c r="A24" s="167" t="s">
        <v>17</v>
      </c>
      <c r="B24" s="166">
        <v>0.95540000000000003</v>
      </c>
      <c r="C24" s="162">
        <v>40000</v>
      </c>
      <c r="D24" s="161" t="s">
        <v>213</v>
      </c>
      <c r="E24" s="171"/>
    </row>
    <row r="25" spans="1:5" ht="14.25" customHeight="1" x14ac:dyDescent="0.3">
      <c r="A25" s="167" t="s">
        <v>18</v>
      </c>
      <c r="B25" s="166">
        <v>1.0414000000000001</v>
      </c>
      <c r="C25" s="162">
        <v>43600</v>
      </c>
      <c r="D25" s="161" t="s">
        <v>213</v>
      </c>
      <c r="E25" s="171"/>
    </row>
    <row r="26" spans="1:5" ht="14.25" customHeight="1" x14ac:dyDescent="0.3">
      <c r="A26" s="167" t="s">
        <v>221</v>
      </c>
      <c r="B26" s="166">
        <v>1.19</v>
      </c>
      <c r="C26" s="162">
        <v>49820</v>
      </c>
      <c r="D26" s="161" t="s">
        <v>213</v>
      </c>
      <c r="E26" s="171"/>
    </row>
    <row r="27" spans="1:5" ht="14.25" customHeight="1" x14ac:dyDescent="0.3">
      <c r="A27" s="167" t="s">
        <v>220</v>
      </c>
      <c r="B27" s="166">
        <v>0.58909999999999996</v>
      </c>
      <c r="C27" s="162">
        <v>24664</v>
      </c>
      <c r="D27" s="161" t="s">
        <v>206</v>
      </c>
      <c r="E27" s="171"/>
    </row>
    <row r="28" spans="1:5" ht="14.25" customHeight="1" x14ac:dyDescent="0.3">
      <c r="A28" s="167" t="s">
        <v>219</v>
      </c>
      <c r="B28" s="166">
        <v>0.72509999999999997</v>
      </c>
      <c r="C28" s="162">
        <v>30359</v>
      </c>
      <c r="D28" s="161" t="s">
        <v>206</v>
      </c>
      <c r="E28" s="171"/>
    </row>
    <row r="29" spans="1:5" ht="14.25" customHeight="1" x14ac:dyDescent="0.3">
      <c r="A29" s="167" t="s">
        <v>333</v>
      </c>
      <c r="B29" s="166">
        <v>0.7359</v>
      </c>
      <c r="C29" s="162">
        <v>30811</v>
      </c>
      <c r="D29" s="161" t="s">
        <v>206</v>
      </c>
      <c r="E29" s="171"/>
    </row>
    <row r="30" spans="1:5" ht="14.25" customHeight="1" x14ac:dyDescent="0.3">
      <c r="A30" s="167" t="s">
        <v>218</v>
      </c>
      <c r="B30" s="166">
        <v>0.56210000000000004</v>
      </c>
      <c r="C30" s="162">
        <v>23534</v>
      </c>
      <c r="D30" s="161" t="s">
        <v>206</v>
      </c>
      <c r="E30" s="171"/>
    </row>
    <row r="31" spans="1:5" ht="14.25" customHeight="1" x14ac:dyDescent="0.3">
      <c r="A31" s="167" t="s">
        <v>217</v>
      </c>
      <c r="B31" s="166">
        <v>0.25</v>
      </c>
      <c r="C31" s="162">
        <v>10467</v>
      </c>
      <c r="D31" s="161" t="s">
        <v>206</v>
      </c>
      <c r="E31" s="171"/>
    </row>
    <row r="32" spans="1:5" ht="14.25" customHeight="1" x14ac:dyDescent="0.3">
      <c r="A32" s="167" t="s">
        <v>216</v>
      </c>
      <c r="B32" s="166">
        <v>0.18790000000000001</v>
      </c>
      <c r="C32" s="162">
        <v>7866</v>
      </c>
      <c r="D32" s="161" t="s">
        <v>206</v>
      </c>
      <c r="E32" s="171"/>
    </row>
    <row r="33" spans="1:5" ht="14.25" customHeight="1" x14ac:dyDescent="0.3">
      <c r="A33" s="167" t="s">
        <v>215</v>
      </c>
      <c r="B33" s="166">
        <v>0.45</v>
      </c>
      <c r="C33" s="162">
        <v>18841</v>
      </c>
      <c r="D33" s="161" t="s">
        <v>206</v>
      </c>
      <c r="E33" s="171"/>
    </row>
    <row r="34" spans="1:5" ht="14.25" customHeight="1" x14ac:dyDescent="0.3">
      <c r="A34" s="167" t="s">
        <v>36</v>
      </c>
      <c r="B34" s="166">
        <v>0.19</v>
      </c>
      <c r="C34" s="162">
        <v>7955</v>
      </c>
      <c r="D34" s="161" t="s">
        <v>206</v>
      </c>
      <c r="E34" s="171"/>
    </row>
    <row r="35" spans="1:5" ht="14.25" customHeight="1" x14ac:dyDescent="0.3">
      <c r="A35" s="167" t="s">
        <v>313</v>
      </c>
      <c r="B35" s="166">
        <v>0.27710000000000001</v>
      </c>
      <c r="C35" s="162">
        <v>11603</v>
      </c>
      <c r="D35" s="161" t="s">
        <v>206</v>
      </c>
      <c r="E35" s="171"/>
    </row>
    <row r="36" spans="1:5" ht="14.25" customHeight="1" x14ac:dyDescent="0.3">
      <c r="A36" s="167" t="s">
        <v>339</v>
      </c>
      <c r="B36" s="166">
        <v>0.88390000000000002</v>
      </c>
      <c r="C36" s="162">
        <v>37000</v>
      </c>
      <c r="D36" s="161" t="s">
        <v>206</v>
      </c>
      <c r="E36" s="171"/>
    </row>
    <row r="37" spans="1:5" ht="14.25" customHeight="1" x14ac:dyDescent="0.3">
      <c r="A37" s="167" t="s">
        <v>340</v>
      </c>
      <c r="B37" s="166">
        <v>1.0508999999999999</v>
      </c>
      <c r="C37" s="162">
        <v>44000</v>
      </c>
      <c r="D37" s="161" t="s">
        <v>213</v>
      </c>
      <c r="E37" s="171"/>
    </row>
    <row r="38" spans="1:5" ht="14.25" customHeight="1" x14ac:dyDescent="0.3">
      <c r="A38" s="167" t="s">
        <v>303</v>
      </c>
      <c r="B38" s="166">
        <v>0.64500000000000002</v>
      </c>
      <c r="C38" s="162">
        <v>27000</v>
      </c>
      <c r="D38" s="161" t="s">
        <v>213</v>
      </c>
      <c r="E38" s="171"/>
    </row>
    <row r="39" spans="1:5" ht="14.25" customHeight="1" x14ac:dyDescent="0.3">
      <c r="A39" s="167" t="s">
        <v>304</v>
      </c>
      <c r="B39" s="166">
        <v>0.86</v>
      </c>
      <c r="C39" s="162">
        <v>36000</v>
      </c>
      <c r="D39" s="161" t="s">
        <v>213</v>
      </c>
      <c r="E39" s="171"/>
    </row>
    <row r="40" spans="1:5" ht="14.25" customHeight="1" x14ac:dyDescent="0.3">
      <c r="A40" s="167" t="s">
        <v>214</v>
      </c>
      <c r="B40" s="166">
        <v>0.70499999999999996</v>
      </c>
      <c r="C40" s="162">
        <v>29517</v>
      </c>
      <c r="D40" s="161" t="s">
        <v>213</v>
      </c>
      <c r="E40" s="171"/>
    </row>
    <row r="41" spans="1:5" ht="14.25" customHeight="1" x14ac:dyDescent="0.3">
      <c r="A41" s="167" t="s">
        <v>38</v>
      </c>
      <c r="B41" s="166">
        <v>0.48</v>
      </c>
      <c r="C41" s="162">
        <v>20097</v>
      </c>
      <c r="D41" s="161" t="s">
        <v>206</v>
      </c>
      <c r="E41" s="171"/>
    </row>
    <row r="42" spans="1:5" ht="14.25" customHeight="1" x14ac:dyDescent="0.3">
      <c r="A42" s="161"/>
      <c r="B42" s="166"/>
      <c r="C42" s="162"/>
      <c r="D42" s="161"/>
    </row>
    <row r="43" spans="1:5" ht="13.2" x14ac:dyDescent="0.3">
      <c r="A43" s="298" t="s">
        <v>212</v>
      </c>
      <c r="B43" s="297" t="s">
        <v>203</v>
      </c>
      <c r="C43" s="297"/>
      <c r="D43" s="299" t="s">
        <v>211</v>
      </c>
    </row>
    <row r="44" spans="1:5" ht="14.4" x14ac:dyDescent="0.3">
      <c r="A44" s="298"/>
      <c r="B44" s="165" t="s">
        <v>210</v>
      </c>
      <c r="C44" s="165" t="s">
        <v>209</v>
      </c>
      <c r="D44" s="299"/>
    </row>
    <row r="45" spans="1:5" ht="26.4" x14ac:dyDescent="0.2">
      <c r="A45" s="163" t="s">
        <v>208</v>
      </c>
      <c r="B45" s="292">
        <v>0.90680000000000005</v>
      </c>
      <c r="C45" s="170">
        <v>37966</v>
      </c>
      <c r="D45" s="164" t="s">
        <v>207</v>
      </c>
    </row>
    <row r="46" spans="1:5" ht="13.2" x14ac:dyDescent="0.3">
      <c r="A46" s="163" t="s">
        <v>39</v>
      </c>
      <c r="B46" s="166">
        <v>0.53659999999999997</v>
      </c>
      <c r="C46" s="162">
        <v>22468</v>
      </c>
      <c r="D46" s="161" t="s">
        <v>206</v>
      </c>
    </row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</sheetData>
  <mergeCells count="6">
    <mergeCell ref="B8:C8"/>
    <mergeCell ref="A8:A9"/>
    <mergeCell ref="D8:D9"/>
    <mergeCell ref="A43:A44"/>
    <mergeCell ref="B43:C43"/>
    <mergeCell ref="D43:D44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Laura Dias Carvalho (DGEG)</cp:lastModifiedBy>
  <dcterms:created xsi:type="dcterms:W3CDTF">2017-12-18T16:25:06Z</dcterms:created>
  <dcterms:modified xsi:type="dcterms:W3CDTF">2025-05-15T14:20:08Z</dcterms:modified>
</cp:coreProperties>
</file>